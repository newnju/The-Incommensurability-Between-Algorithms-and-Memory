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说明" sheetId="1" r:id="rId3"/>
    <sheet name="样本清单" sheetId="2" r:id="rId4"/>
    <sheet name="编码员A" sheetId="3" r:id="rId5"/>
    <sheet name="编码员B" sheetId="4" r:id="rId6"/>
    <sheet name="共识效标Y" sheetId="5" r:id="rId7"/>
    <sheet name="提示条件汇总" sheetId="6" r:id="rId8"/>
    <sheet name="稳定性_留一" sheetId="7" r:id="rId9"/>
    <sheet name="维度_Kappa" sheetId="8" r:id="rId10"/>
    <sheet name="正文填数索引" sheetId="9" r:id="rId11"/>
    <sheet name="提示词全文" sheetId="10" r:id="rId12"/>
  </sheets>
  <calcPr calcId="191029" fullCalcOnLoad="1"/>
</workbook>
</file>

<file path=xl/sharedStrings.xml><?xml version="1.0" encoding="utf-8"?>
<sst xmlns="http://schemas.openxmlformats.org/spreadsheetml/2006/main" count="771" uniqueCount="771">
  <si>
    <t/>
  </si>
  <si>
    <t>否</t>
  </si>
  <si>
    <t>是</t>
  </si>
  <si>
    <t>M1_P1_01</t>
  </si>
  <si>
    <t>M1</t>
  </si>
  <si>
    <t>ChatGPT Images 2.0</t>
  </si>
  <si>
    <t>P1</t>
  </si>
  <si>
    <t>M1_P1_02</t>
  </si>
  <si>
    <t>M1_P1_03</t>
  </si>
  <si>
    <t>M1_P1_04</t>
  </si>
  <si>
    <t>M1_P1_05</t>
  </si>
  <si>
    <t>M1_P1_06</t>
  </si>
  <si>
    <t>M1_P1_07</t>
  </si>
  <si>
    <t>M1_P1_08</t>
  </si>
  <si>
    <t>M1_P1_09</t>
  </si>
  <si>
    <t>M1_P2_01</t>
  </si>
  <si>
    <t>P2</t>
  </si>
  <si>
    <t>M1_P2_02</t>
  </si>
  <si>
    <t>M1_P2_03</t>
  </si>
  <si>
    <t>M1_P2_04</t>
  </si>
  <si>
    <t>M1_P2_05</t>
  </si>
  <si>
    <t>M1_P2_06</t>
  </si>
  <si>
    <t>M1_P2_07</t>
  </si>
  <si>
    <t>M1_P2_08</t>
  </si>
  <si>
    <t>M1_P2_09</t>
  </si>
  <si>
    <t>M1_P3_01</t>
  </si>
  <si>
    <t>P3</t>
  </si>
  <si>
    <t>M1_P3_02</t>
  </si>
  <si>
    <t>M1_P3_03</t>
  </si>
  <si>
    <t>M1_P3_04</t>
  </si>
  <si>
    <t>M1_P3_05</t>
  </si>
  <si>
    <t>M1_P3_06</t>
  </si>
  <si>
    <t>M1_P3_07</t>
  </si>
  <si>
    <t>M1_P3_08</t>
  </si>
  <si>
    <t>M1_P3_09</t>
  </si>
  <si>
    <t>M2_P1_01</t>
  </si>
  <si>
    <t>M2</t>
  </si>
  <si>
    <t>gemini-3.1-flash-image</t>
  </si>
  <si>
    <t>M2_P1_02</t>
  </si>
  <si>
    <t>M2_P1_03</t>
  </si>
  <si>
    <t>M2_P1_04</t>
  </si>
  <si>
    <t>M2_P1_05</t>
  </si>
  <si>
    <t>M2_P1_06</t>
  </si>
  <si>
    <t>M2_P1_07</t>
  </si>
  <si>
    <t>M2_P1_08</t>
  </si>
  <si>
    <t>M2_P1_09</t>
  </si>
  <si>
    <t>M2_P2_01</t>
  </si>
  <si>
    <t>M2_P2_02</t>
  </si>
  <si>
    <t>M2_P2_03</t>
  </si>
  <si>
    <t>M2_P2_04</t>
  </si>
  <si>
    <t>M2_P2_05</t>
  </si>
  <si>
    <t>M2_P2_06</t>
  </si>
  <si>
    <t>M2_P2_07</t>
  </si>
  <si>
    <t>M2_P2_08</t>
  </si>
  <si>
    <t>M2_P2_09</t>
  </si>
  <si>
    <t>M2_P3_01</t>
  </si>
  <si>
    <t>M2_P3_02</t>
  </si>
  <si>
    <t>M2_P3_03</t>
  </si>
  <si>
    <t>M2_P3_04</t>
  </si>
  <si>
    <t>M2_P3_05</t>
  </si>
  <si>
    <t>M2_P3_06</t>
  </si>
  <si>
    <t>M2_P3_07</t>
  </si>
  <si>
    <t>M2_P3_08</t>
  </si>
  <si>
    <t>M2_P3_09</t>
  </si>
  <si>
    <t>M3_P1_01</t>
  </si>
  <si>
    <t>M3</t>
  </si>
  <si>
    <t>MAI-Image-2.5-Pro</t>
  </si>
  <si>
    <t>M3_P1_02</t>
  </si>
  <si>
    <t>M3_P1_03</t>
  </si>
  <si>
    <t>M3_P1_04</t>
  </si>
  <si>
    <t>M3_P1_05</t>
  </si>
  <si>
    <t>M3_P1_06</t>
  </si>
  <si>
    <t>M3_P1_07</t>
  </si>
  <si>
    <t>M3_P1_08</t>
  </si>
  <si>
    <t>M3_P1_09</t>
  </si>
  <si>
    <t>M3_P2_01</t>
  </si>
  <si>
    <t>M3_P2_02</t>
  </si>
  <si>
    <t>M3_P2_03</t>
  </si>
  <si>
    <t>M3_P2_04</t>
  </si>
  <si>
    <t>M3_P2_05</t>
  </si>
  <si>
    <t>M3_P2_06</t>
  </si>
  <si>
    <t>M3_P2_07</t>
  </si>
  <si>
    <t>M3_P2_08</t>
  </si>
  <si>
    <t>M3_P2_09</t>
  </si>
  <si>
    <t>M3_P3_01</t>
  </si>
  <si>
    <t>M3_P3_02</t>
  </si>
  <si>
    <t>M3_P3_03</t>
  </si>
  <si>
    <t>M3_P3_04</t>
  </si>
  <si>
    <t>M3_P3_05</t>
  </si>
  <si>
    <t>M3_P3_06</t>
  </si>
  <si>
    <t>M3_P3_07</t>
  </si>
  <si>
    <t>M3_P3_08</t>
  </si>
  <si>
    <t>M3_P3_09</t>
  </si>
  <si>
    <t>M4_P1_01</t>
  </si>
  <si>
    <t>M4</t>
  </si>
  <si>
    <t>Reve 2.1</t>
  </si>
  <si>
    <t>M4_P1_02</t>
  </si>
  <si>
    <t>M4_P1_03</t>
  </si>
  <si>
    <t>M4_P1_04</t>
  </si>
  <si>
    <t>M4_P1_05</t>
  </si>
  <si>
    <t>M4_P1_06</t>
  </si>
  <si>
    <t>M4_P1_07</t>
  </si>
  <si>
    <t>M4_P1_08</t>
  </si>
  <si>
    <t>M4_P1_09</t>
  </si>
  <si>
    <t>M4_P2_01</t>
  </si>
  <si>
    <t>M4_P2_02</t>
  </si>
  <si>
    <t>M4_P2_03</t>
  </si>
  <si>
    <t>M4_P2_04</t>
  </si>
  <si>
    <t>M4_P2_05</t>
  </si>
  <si>
    <t>M4_P2_06</t>
  </si>
  <si>
    <t>M4_P2_07</t>
  </si>
  <si>
    <t>M4_P2_08</t>
  </si>
  <si>
    <t>M4_P2_09</t>
  </si>
  <si>
    <t>M4_P3_01</t>
  </si>
  <si>
    <t>M4_P3_02</t>
  </si>
  <si>
    <t>M4_P3_03</t>
  </si>
  <si>
    <t>M4_P3_04</t>
  </si>
  <si>
    <t>M4_P3_05</t>
  </si>
  <si>
    <t>M4_P3_06</t>
  </si>
  <si>
    <t>M4_P3_07</t>
  </si>
  <si>
    <t>M4_P3_08</t>
  </si>
  <si>
    <t>M4_P3_09</t>
  </si>
  <si>
    <t>M5_P1_01</t>
  </si>
  <si>
    <t>M5</t>
  </si>
  <si>
    <t>Seedream 5.0 Lite</t>
  </si>
  <si>
    <t>M5_P1_02</t>
  </si>
  <si>
    <t>M5_P1_03</t>
  </si>
  <si>
    <t>M5_P1_04</t>
  </si>
  <si>
    <t>M5_P1_05</t>
  </si>
  <si>
    <t>M5_P1_06</t>
  </si>
  <si>
    <t>M5_P1_07</t>
  </si>
  <si>
    <t>M5_P1_08</t>
  </si>
  <si>
    <t>M5_P1_09</t>
  </si>
  <si>
    <t>M5_P2_01</t>
  </si>
  <si>
    <t>M5_P2_02</t>
  </si>
  <si>
    <t>M5_P2_03</t>
  </si>
  <si>
    <t>M5_P2_04</t>
  </si>
  <si>
    <t>M5_P2_05</t>
  </si>
  <si>
    <t>M5_P2_06</t>
  </si>
  <si>
    <t>M5_P2_07</t>
  </si>
  <si>
    <t>M5_P2_08</t>
  </si>
  <si>
    <t>M5_P2_09</t>
  </si>
  <si>
    <t>M5_P3_01</t>
  </si>
  <si>
    <t>M5_P3_02</t>
  </si>
  <si>
    <t>M5_P3_03</t>
  </si>
  <si>
    <t>M5_P3_04</t>
  </si>
  <si>
    <t>M5_P3_05</t>
  </si>
  <si>
    <t>M5_P3_06</t>
  </si>
  <si>
    <t>M5_P3_07</t>
  </si>
  <si>
    <t>M5_P3_08</t>
  </si>
  <si>
    <t>M5_P3_09</t>
  </si>
  <si>
    <t>M6_P1_01</t>
  </si>
  <si>
    <t>M6</t>
  </si>
  <si>
    <t>HunyuanImage-3.0</t>
  </si>
  <si>
    <t>M6_P1_02</t>
  </si>
  <si>
    <t>M6_P1_03</t>
  </si>
  <si>
    <t>M6_P1_04</t>
  </si>
  <si>
    <t>M6_P1_05</t>
  </si>
  <si>
    <t>M6_P1_06</t>
  </si>
  <si>
    <t>M6_P1_07</t>
  </si>
  <si>
    <t>M6_P1_08</t>
  </si>
  <si>
    <t>M6_P1_09</t>
  </si>
  <si>
    <t>M6_P2_01</t>
  </si>
  <si>
    <t>M6_P2_02</t>
  </si>
  <si>
    <t>M6_P2_03</t>
  </si>
  <si>
    <t>M6_P2_04</t>
  </si>
  <si>
    <t>M6_P2_05</t>
  </si>
  <si>
    <t>M6_P2_06</t>
  </si>
  <si>
    <t>M6_P2_07</t>
  </si>
  <si>
    <t>M6_P2_08</t>
  </si>
  <si>
    <t>M6_P2_09</t>
  </si>
  <si>
    <t>M6_P3_01</t>
  </si>
  <si>
    <t>M6_P3_02</t>
  </si>
  <si>
    <t>M6_P3_03</t>
  </si>
  <si>
    <t>M6_P3_04</t>
  </si>
  <si>
    <t>M6_P3_05</t>
  </si>
  <si>
    <t>M6_P3_06</t>
  </si>
  <si>
    <t>M6_P3_07</t>
  </si>
  <si>
    <t>M6_P3_08</t>
  </si>
  <si>
    <t>M6_P3_09</t>
  </si>
  <si>
    <t>六模型 × 三提示条件 × 每单元9张：162张结果填写模板</t>
  </si>
  <si>
    <t>样本清单!I2:I163</t>
  </si>
  <si>
    <t>提示条件汇总!I4</t>
  </si>
  <si>
    <t>提示条件汇总!I5</t>
  </si>
  <si>
    <t>提示条件汇总!I6</t>
  </si>
  <si>
    <t>提示条件汇总!I4:I5</t>
  </si>
  <si>
    <t>提示条件汇总!I5:I6</t>
  </si>
  <si>
    <r>
      <t>六模型 × 三提示条件 × 每单元10张：180张结果填写模板</t>
    </r>
  </si>
  <si>
    <r>
      <t>固定设计参数</t>
    </r>
  </si>
  <si>
    <r>
      <t>数值/规则</t>
    </r>
  </si>
  <si>
    <r>
      <t>模型代码</t>
    </r>
  </si>
  <si>
    <r>
      <t>模型名称</t>
    </r>
  </si>
  <si>
    <r>
      <t>每模型样本</t>
    </r>
  </si>
  <si>
    <r>
      <t>模型数</t>
    </r>
  </si>
  <si>
    <r>
      <t>M1</t>
    </r>
  </si>
  <si>
    <r>
      <t>ChatGPT Images 2.0</t>
    </r>
  </si>
  <si>
    <r>
      <t>提示条件数</t>
    </r>
  </si>
  <si>
    <r>
      <t>M2</t>
    </r>
  </si>
  <si>
    <r>
      <t>gemini-3.1-flash-image</t>
    </r>
  </si>
  <si>
    <r>
      <t>每“模型—提示词”单元</t>
    </r>
  </si>
  <si>
    <r>
      <t>M3</t>
    </r>
  </si>
  <si>
    <r>
      <t>MAI-Image-2.5-Pro</t>
    </r>
  </si>
  <si>
    <r>
      <t>总样本</t>
    </r>
  </si>
  <si>
    <r>
      <t>M4</t>
    </r>
  </si>
  <si>
    <r>
      <t>Reve 2.1</t>
    </r>
  </si>
  <si>
    <r>
      <t>每模型</t>
    </r>
  </si>
  <si>
    <r>
      <t>M5</t>
    </r>
  </si>
  <si>
    <r>
      <t>Seedream 5.0 Lite</t>
    </r>
  </si>
  <si>
    <r>
      <t>每提示条件</t>
    </r>
  </si>
  <si>
    <r>
      <t>M6</t>
    </r>
  </si>
  <si>
    <r>
      <t>HunyuanImage-3.0</t>
    </r>
  </si>
  <si>
    <r>
      <t>预测试</t>
    </r>
  </si>
  <si>
    <r>
      <t>留一模型分析</t>
    </r>
  </si>
  <si>
    <r>
      <t>6次；每次剔除27张、保留135张</t>
    </r>
  </si>
  <si>
    <r>
      <t>Bootstrap分层单元</t>
    </r>
  </si>
  <si>
    <r>
      <t>稳定判据</t>
    </r>
  </si>
  <si>
    <r>
      <t>πj≥0.60 且六次留一模型至少5次入选</t>
    </r>
  </si>
  <si>
    <r>
      <t>指标</t>
    </r>
  </si>
  <si>
    <r>
      <t>含义</t>
    </r>
  </si>
  <si>
    <r>
      <t>颜色说明</t>
    </r>
  </si>
  <si>
    <r>
      <t>用途</t>
    </r>
  </si>
  <si>
    <r>
      <t>f1</t>
    </r>
  </si>
  <si>
    <r>
      <t>屋顶、佛塔与比例</t>
    </r>
  </si>
  <si>
    <r>
      <t>黄色单元格</t>
    </r>
  </si>
  <si>
    <r>
      <t>需要人工录入/粘贴真实结果</t>
    </r>
  </si>
  <si>
    <r>
      <t>f2</t>
    </r>
  </si>
  <si>
    <r>
      <t>城墙与门楼</t>
    </r>
  </si>
  <si>
    <r>
      <t>绿色单元格</t>
    </r>
  </si>
  <si>
    <r>
      <t>由表内公式自动计算</t>
    </r>
  </si>
  <si>
    <r>
      <t>f3</t>
    </r>
  </si>
  <si>
    <r>
      <t>衣袍领型</t>
    </r>
  </si>
  <si>
    <r>
      <t>0/1/2/NA</t>
    </r>
  </si>
  <si>
    <r>
      <t>原子指标编码；NA=对象未出现</t>
    </r>
  </si>
  <si>
    <r>
      <t>f4</t>
    </r>
  </si>
  <si>
    <r>
      <t>腰带配件</t>
    </r>
  </si>
  <si>
    <r>
      <t>总体Y</t>
    </r>
  </si>
  <si>
    <r>
      <t>0=无明显失真；1=局部/可疑；2=明确/系统性失真</t>
    </r>
  </si>
  <si>
    <r>
      <t>f5</t>
    </r>
  </si>
  <si>
    <r>
      <t>头饰须发</t>
    </r>
  </si>
  <si>
    <r>
      <t>注意</t>
    </r>
  </si>
  <si>
    <r>
      <t>复杂统计（Bootstrap、Kappa、CART）建议由R/Python输出后粘贴到黄色单元格。</t>
    </r>
  </si>
  <si>
    <r>
      <t>f6</t>
    </r>
  </si>
  <si>
    <r>
      <t>书籍家具</t>
    </r>
  </si>
  <si>
    <r>
      <t>f7</t>
    </r>
  </si>
  <si>
    <r>
      <t>饮食贸易器皿</t>
    </r>
  </si>
  <si>
    <r>
      <t>f8</t>
    </r>
  </si>
  <si>
    <r>
      <t>兵器铠甲</t>
    </r>
  </si>
  <si>
    <r>
      <t>f9</t>
    </r>
  </si>
  <si>
    <r>
      <t>马匹马具车辆</t>
    </r>
  </si>
  <si>
    <r>
      <t>f10</t>
    </r>
  </si>
  <si>
    <r>
      <t>具体身份可辨识度</t>
    </r>
  </si>
  <si>
    <r>
      <t>f11</t>
    </r>
  </si>
  <si>
    <r>
      <t>族群标签化</t>
    </r>
  </si>
  <si>
    <r>
      <t>f12</t>
    </r>
  </si>
  <si>
    <r>
      <t>社会身份与互动</t>
    </r>
  </si>
  <si>
    <r>
      <t>f13</t>
    </r>
  </si>
  <si>
    <r>
      <t>位置遮挡</t>
    </r>
  </si>
  <si>
    <r>
      <t>f14</t>
    </r>
  </si>
  <si>
    <r>
      <t>景深透视方向</t>
    </r>
  </si>
  <si>
    <r>
      <t>f15</t>
    </r>
  </si>
  <si>
    <r>
      <t>线条笔触</t>
    </r>
  </si>
  <si>
    <r>
      <t>f16</t>
    </r>
  </si>
  <si>
    <r>
      <t>色彩材质</t>
    </r>
  </si>
  <si>
    <r>
      <t>f17</t>
    </r>
  </si>
  <si>
    <r>
      <t>形体文字结构幻觉</t>
    </r>
  </si>
  <si>
    <r>
      <t>f18</t>
    </r>
  </si>
  <si>
    <r>
      <t>提示词遵循度</t>
    </r>
  </si>
  <si>
    <r>
      <t>ImageID</t>
    </r>
  </si>
  <si>
    <r>
      <t>提示条件</t>
    </r>
  </si>
  <si>
    <r>
      <t>提示名称</t>
    </r>
  </si>
  <si>
    <r>
      <t>重复序号</t>
    </r>
  </si>
  <si>
    <r>
      <t>建议文件名</t>
    </r>
  </si>
  <si>
    <r>
      <t>生成日期</t>
    </r>
  </si>
  <si>
    <r>
      <t>生成状态</t>
    </r>
  </si>
  <si>
    <r>
      <t>失败/拒绝原因</t>
    </r>
  </si>
  <si>
    <r>
      <t>备注</t>
    </r>
  </si>
  <si>
    <r>
      <t>M1_P1_01</t>
    </r>
  </si>
  <si>
    <r>
      <t>P1</t>
    </r>
  </si>
  <si>
    <r>
      <t>低约束基线</t>
    </r>
  </si>
  <si>
    <r>
      <t>M1_P1_01.png</t>
    </r>
  </si>
  <si>
    <r>
      <t>M1_P1_02</t>
    </r>
  </si>
  <si>
    <r>
      <t>M1_P1_02.png</t>
    </r>
  </si>
  <si>
    <r>
      <t>M1_P1_03</t>
    </r>
  </si>
  <si>
    <r>
      <t>M1_P1_03.png</t>
    </r>
  </si>
  <si>
    <r>
      <t>M1_P1_04</t>
    </r>
  </si>
  <si>
    <r>
      <t>M1_P1_04.png</t>
    </r>
  </si>
  <si>
    <r>
      <t>M1_P1_05</t>
    </r>
  </si>
  <si>
    <r>
      <t>M1_P1_05.png</t>
    </r>
  </si>
  <si>
    <r>
      <t>M1_P1_06</t>
    </r>
  </si>
  <si>
    <r>
      <t>M1_P1_06.png</t>
    </r>
  </si>
  <si>
    <r>
      <t>M1_P1_07</t>
    </r>
  </si>
  <si>
    <r>
      <t>M1_P1_07.png</t>
    </r>
  </si>
  <si>
    <r>
      <t>M1_P1_08</t>
    </r>
  </si>
  <si>
    <r>
      <t>M1_P1_08.png</t>
    </r>
  </si>
  <si>
    <r>
      <t>M1_P1_09</t>
    </r>
  </si>
  <si>
    <r>
      <t>M1_P1_09.png</t>
    </r>
  </si>
  <si>
    <r>
      <t>M1_P2_01</t>
    </r>
  </si>
  <si>
    <r>
      <t>P2</t>
    </r>
  </si>
  <si>
    <r>
      <t>考据约束</t>
    </r>
  </si>
  <si>
    <r>
      <t>M1_P2_01.png</t>
    </r>
  </si>
  <si>
    <r>
      <t>M1_P2_02</t>
    </r>
  </si>
  <si>
    <r>
      <t>M1_P2_02.png</t>
    </r>
  </si>
  <si>
    <r>
      <t>M1_P2_03</t>
    </r>
  </si>
  <si>
    <r>
      <t>M1_P2_03.png</t>
    </r>
  </si>
  <si>
    <r>
      <t>M1_P2_04</t>
    </r>
  </si>
  <si>
    <r>
      <t>M1_P2_04.png</t>
    </r>
  </si>
  <si>
    <r>
      <t>M1_P2_05</t>
    </r>
  </si>
  <si>
    <r>
      <t>M1_P2_05.png</t>
    </r>
  </si>
  <si>
    <r>
      <t>M1_P2_06</t>
    </r>
  </si>
  <si>
    <r>
      <t>M1_P2_06.png</t>
    </r>
  </si>
  <si>
    <r>
      <t>M1_P2_07</t>
    </r>
  </si>
  <si>
    <r>
      <t>M1_P2_07.png</t>
    </r>
  </si>
  <si>
    <r>
      <t>M1_P2_08</t>
    </r>
  </si>
  <si>
    <r>
      <t>M1_P2_08.png</t>
    </r>
  </si>
  <si>
    <r>
      <t>M1_P2_09</t>
    </r>
  </si>
  <si>
    <r>
      <t>M1_P2_09.png</t>
    </r>
  </si>
  <si>
    <r>
      <t>M1_P3_01</t>
    </r>
  </si>
  <si>
    <r>
      <t>P3</t>
    </r>
  </si>
  <si>
    <r>
      <t>负向关系框架</t>
    </r>
  </si>
  <si>
    <r>
      <t>M1_P3_01.png</t>
    </r>
  </si>
  <si>
    <r>
      <t>M1_P3_02</t>
    </r>
  </si>
  <si>
    <r>
      <t>M1_P3_02.png</t>
    </r>
  </si>
  <si>
    <r>
      <t>M1_P3_03</t>
    </r>
  </si>
  <si>
    <r>
      <t>M1_P3_03.png</t>
    </r>
  </si>
  <si>
    <r>
      <t>M1_P3_04</t>
    </r>
  </si>
  <si>
    <r>
      <t>M1_P3_04.png</t>
    </r>
  </si>
  <si>
    <r>
      <t>M1_P3_05</t>
    </r>
  </si>
  <si>
    <r>
      <t>M1_P3_05.png</t>
    </r>
  </si>
  <si>
    <r>
      <t>M1_P3_06</t>
    </r>
  </si>
  <si>
    <r>
      <t>M1_P3_06.png</t>
    </r>
  </si>
  <si>
    <r>
      <t>M1_P3_07</t>
    </r>
  </si>
  <si>
    <r>
      <t>M1_P3_07.png</t>
    </r>
  </si>
  <si>
    <r>
      <t>M1_P3_08</t>
    </r>
  </si>
  <si>
    <r>
      <t>M1_P3_08.png</t>
    </r>
  </si>
  <si>
    <r>
      <t>M1_P3_09</t>
    </r>
  </si>
  <si>
    <r>
      <t>M1_P3_09.png</t>
    </r>
  </si>
  <si>
    <r>
      <t>M2_P1_01</t>
    </r>
  </si>
  <si>
    <r>
      <t>M2_P1_01.png</t>
    </r>
  </si>
  <si>
    <r>
      <t>M2_P1_02</t>
    </r>
  </si>
  <si>
    <r>
      <t>M2_P1_02.png</t>
    </r>
  </si>
  <si>
    <r>
      <t>M2_P1_03</t>
    </r>
  </si>
  <si>
    <r>
      <t>M2_P1_03.png</t>
    </r>
  </si>
  <si>
    <r>
      <t>M2_P1_04</t>
    </r>
  </si>
  <si>
    <r>
      <t>M2_P1_04.png</t>
    </r>
  </si>
  <si>
    <r>
      <t>M2_P1_05</t>
    </r>
  </si>
  <si>
    <r>
      <t>M2_P1_05.png</t>
    </r>
  </si>
  <si>
    <r>
      <t>M2_P1_06</t>
    </r>
  </si>
  <si>
    <r>
      <t>M2_P1_06.png</t>
    </r>
  </si>
  <si>
    <r>
      <t>M2_P1_07</t>
    </r>
  </si>
  <si>
    <r>
      <t>M2_P1_07.png</t>
    </r>
  </si>
  <si>
    <r>
      <t>M2_P1_08</t>
    </r>
  </si>
  <si>
    <r>
      <t>M2_P1_08.png</t>
    </r>
  </si>
  <si>
    <r>
      <t>M2_P1_09</t>
    </r>
  </si>
  <si>
    <r>
      <t>M2_P1_09.png</t>
    </r>
  </si>
  <si>
    <r>
      <t>M2_P2_01</t>
    </r>
  </si>
  <si>
    <r>
      <t>M2_P2_01.png</t>
    </r>
  </si>
  <si>
    <r>
      <t>M2_P2_02</t>
    </r>
  </si>
  <si>
    <r>
      <t>M2_P2_02.png</t>
    </r>
  </si>
  <si>
    <r>
      <t>M2_P2_03</t>
    </r>
  </si>
  <si>
    <r>
      <t>M2_P2_03.png</t>
    </r>
  </si>
  <si>
    <r>
      <t>M2_P2_04</t>
    </r>
  </si>
  <si>
    <r>
      <t>M2_P2_04.png</t>
    </r>
  </si>
  <si>
    <r>
      <t>M2_P2_05</t>
    </r>
  </si>
  <si>
    <r>
      <t>M2_P2_05.png</t>
    </r>
  </si>
  <si>
    <r>
      <t>M2_P2_06</t>
    </r>
  </si>
  <si>
    <r>
      <t>M2_P2_06.png</t>
    </r>
  </si>
  <si>
    <r>
      <t>M2_P2_07</t>
    </r>
  </si>
  <si>
    <r>
      <t>M2_P2_07.png</t>
    </r>
  </si>
  <si>
    <r>
      <t>M2_P2_08</t>
    </r>
  </si>
  <si>
    <r>
      <t>M2_P2_08.png</t>
    </r>
  </si>
  <si>
    <r>
      <t>M2_P2_09</t>
    </r>
  </si>
  <si>
    <r>
      <t>M2_P2_09.png</t>
    </r>
  </si>
  <si>
    <r>
      <t>M2_P3_01</t>
    </r>
  </si>
  <si>
    <r>
      <t>M2_P3_01.png</t>
    </r>
  </si>
  <si>
    <r>
      <t>M2_P3_02</t>
    </r>
  </si>
  <si>
    <r>
      <t>M2_P3_02.png</t>
    </r>
  </si>
  <si>
    <r>
      <t>M2_P3_03</t>
    </r>
  </si>
  <si>
    <r>
      <t>M2_P3_03.png</t>
    </r>
  </si>
  <si>
    <r>
      <t>M2_P3_04</t>
    </r>
  </si>
  <si>
    <r>
      <t>M2_P3_04.png</t>
    </r>
  </si>
  <si>
    <r>
      <t>M2_P3_05</t>
    </r>
  </si>
  <si>
    <r>
      <t>M2_P3_05.png</t>
    </r>
  </si>
  <si>
    <r>
      <t>M2_P3_06</t>
    </r>
  </si>
  <si>
    <r>
      <t>M2_P3_06.png</t>
    </r>
  </si>
  <si>
    <r>
      <t>M2_P3_07</t>
    </r>
  </si>
  <si>
    <r>
      <t>M2_P3_07.png</t>
    </r>
  </si>
  <si>
    <r>
      <t>M2_P3_08</t>
    </r>
  </si>
  <si>
    <r>
      <t>M2_P3_08.png</t>
    </r>
  </si>
  <si>
    <r>
      <t>M2_P3_09</t>
    </r>
  </si>
  <si>
    <r>
      <t>M2_P3_09.png</t>
    </r>
  </si>
  <si>
    <r>
      <t>M3_P1_01</t>
    </r>
  </si>
  <si>
    <r>
      <t>M3_P1_01.png</t>
    </r>
  </si>
  <si>
    <r>
      <t>M3_P1_02</t>
    </r>
  </si>
  <si>
    <r>
      <t>M3_P1_02.png</t>
    </r>
  </si>
  <si>
    <r>
      <t>M3_P1_03</t>
    </r>
  </si>
  <si>
    <r>
      <t>M3_P1_03.png</t>
    </r>
  </si>
  <si>
    <r>
      <t>M3_P1_04</t>
    </r>
  </si>
  <si>
    <r>
      <t>M3_P1_04.png</t>
    </r>
  </si>
  <si>
    <r>
      <t>M3_P1_05</t>
    </r>
  </si>
  <si>
    <r>
      <t>M3_P1_05.png</t>
    </r>
  </si>
  <si>
    <r>
      <t>M3_P1_06</t>
    </r>
  </si>
  <si>
    <r>
      <t>M3_P1_06.png</t>
    </r>
  </si>
  <si>
    <r>
      <t>M3_P1_07</t>
    </r>
  </si>
  <si>
    <r>
      <t>M3_P1_07.png</t>
    </r>
  </si>
  <si>
    <r>
      <t>M3_P1_08</t>
    </r>
  </si>
  <si>
    <r>
      <t>M3_P1_08.png</t>
    </r>
  </si>
  <si>
    <r>
      <t>M3_P1_09</t>
    </r>
  </si>
  <si>
    <r>
      <t>M3_P1_09.png</t>
    </r>
  </si>
  <si>
    <r>
      <t>M3_P2_01</t>
    </r>
  </si>
  <si>
    <r>
      <t>M3_P2_01.png</t>
    </r>
  </si>
  <si>
    <r>
      <t>M3_P2_02</t>
    </r>
  </si>
  <si>
    <r>
      <t>M3_P2_02.png</t>
    </r>
  </si>
  <si>
    <r>
      <t>M3_P2_03</t>
    </r>
  </si>
  <si>
    <r>
      <t>M3_P2_03.png</t>
    </r>
  </si>
  <si>
    <r>
      <t>M3_P2_04</t>
    </r>
  </si>
  <si>
    <r>
      <t>M3_P2_04.png</t>
    </r>
  </si>
  <si>
    <r>
      <t>M3_P2_05</t>
    </r>
  </si>
  <si>
    <r>
      <t>M3_P2_05.png</t>
    </r>
  </si>
  <si>
    <r>
      <t>M3_P2_06</t>
    </r>
  </si>
  <si>
    <r>
      <t>M3_P2_06.png</t>
    </r>
  </si>
  <si>
    <r>
      <t>M3_P2_07</t>
    </r>
  </si>
  <si>
    <r>
      <t>M3_P2_07.png</t>
    </r>
  </si>
  <si>
    <r>
      <t>M3_P2_08</t>
    </r>
  </si>
  <si>
    <r>
      <t>M3_P2_08.png</t>
    </r>
  </si>
  <si>
    <r>
      <t>M3_P2_09</t>
    </r>
  </si>
  <si>
    <r>
      <t>M3_P2_09.png</t>
    </r>
  </si>
  <si>
    <r>
      <t>M3_P3_01</t>
    </r>
  </si>
  <si>
    <r>
      <t>M3_P3_01.png</t>
    </r>
  </si>
  <si>
    <r>
      <t>M3_P3_02</t>
    </r>
  </si>
  <si>
    <r>
      <t>M3_P3_02.png</t>
    </r>
  </si>
  <si>
    <r>
      <t>M3_P3_03</t>
    </r>
  </si>
  <si>
    <r>
      <t>M3_P3_03.png</t>
    </r>
  </si>
  <si>
    <r>
      <t>M3_P3_04</t>
    </r>
  </si>
  <si>
    <r>
      <t>M3_P3_04.png</t>
    </r>
  </si>
  <si>
    <r>
      <t>M3_P3_05</t>
    </r>
  </si>
  <si>
    <r>
      <t>M3_P3_05.png</t>
    </r>
  </si>
  <si>
    <r>
      <t>M3_P3_06</t>
    </r>
  </si>
  <si>
    <r>
      <t>M3_P3_06.png</t>
    </r>
  </si>
  <si>
    <r>
      <t>M3_P3_07</t>
    </r>
  </si>
  <si>
    <r>
      <t>M3_P3_07.png</t>
    </r>
  </si>
  <si>
    <r>
      <t>M3_P3_08</t>
    </r>
  </si>
  <si>
    <r>
      <t>M3_P3_08.png</t>
    </r>
  </si>
  <si>
    <r>
      <t>M3_P3_09</t>
    </r>
  </si>
  <si>
    <r>
      <t>M3_P3_09.png</t>
    </r>
  </si>
  <si>
    <r>
      <t>M4_P1_01</t>
    </r>
  </si>
  <si>
    <r>
      <t>M4_P1_01.png</t>
    </r>
  </si>
  <si>
    <r>
      <t>M4_P1_02</t>
    </r>
  </si>
  <si>
    <r>
      <t>M4_P1_02.png</t>
    </r>
  </si>
  <si>
    <r>
      <t>M4_P1_03</t>
    </r>
  </si>
  <si>
    <r>
      <t>M4_P1_03.png</t>
    </r>
  </si>
  <si>
    <r>
      <t>M4_P1_04</t>
    </r>
  </si>
  <si>
    <r>
      <t>M4_P1_04.png</t>
    </r>
  </si>
  <si>
    <r>
      <t>M4_P1_05</t>
    </r>
  </si>
  <si>
    <r>
      <t>M4_P1_05.png</t>
    </r>
  </si>
  <si>
    <r>
      <t>M4_P1_06</t>
    </r>
  </si>
  <si>
    <r>
      <t>M4_P1_06.png</t>
    </r>
  </si>
  <si>
    <r>
      <t>M4_P1_07</t>
    </r>
  </si>
  <si>
    <r>
      <t>M4_P1_07.png</t>
    </r>
  </si>
  <si>
    <r>
      <t>M4_P1_08</t>
    </r>
  </si>
  <si>
    <r>
      <t>M4_P1_08.png</t>
    </r>
  </si>
  <si>
    <r>
      <t>M4_P1_09</t>
    </r>
  </si>
  <si>
    <r>
      <t>M4_P1_09.png</t>
    </r>
  </si>
  <si>
    <r>
      <t>M4_P2_01</t>
    </r>
  </si>
  <si>
    <r>
      <t>M4_P2_01.png</t>
    </r>
  </si>
  <si>
    <r>
      <t>M4_P2_02</t>
    </r>
  </si>
  <si>
    <r>
      <t>M4_P2_02.png</t>
    </r>
  </si>
  <si>
    <r>
      <t>M4_P2_03</t>
    </r>
  </si>
  <si>
    <r>
      <t>M4_P2_03.png</t>
    </r>
  </si>
  <si>
    <r>
      <t>M4_P2_04</t>
    </r>
  </si>
  <si>
    <r>
      <t>M4_P2_04.png</t>
    </r>
  </si>
  <si>
    <r>
      <t>M4_P2_05</t>
    </r>
  </si>
  <si>
    <r>
      <t>M4_P2_05.png</t>
    </r>
  </si>
  <si>
    <r>
      <t>M4_P2_06</t>
    </r>
  </si>
  <si>
    <r>
      <t>M4_P2_06.png</t>
    </r>
  </si>
  <si>
    <r>
      <t>M4_P2_07</t>
    </r>
  </si>
  <si>
    <r>
      <t>M4_P2_07.png</t>
    </r>
  </si>
  <si>
    <r>
      <t>M4_P2_08</t>
    </r>
  </si>
  <si>
    <r>
      <t>M4_P2_08.png</t>
    </r>
  </si>
  <si>
    <r>
      <t>M4_P2_09</t>
    </r>
  </si>
  <si>
    <r>
      <t>M4_P2_09.png</t>
    </r>
  </si>
  <si>
    <r>
      <t>M4_P3_01</t>
    </r>
  </si>
  <si>
    <r>
      <t>M4_P3_01.png</t>
    </r>
  </si>
  <si>
    <r>
      <t>M4_P3_02</t>
    </r>
  </si>
  <si>
    <r>
      <t>M4_P3_02.png</t>
    </r>
  </si>
  <si>
    <r>
      <t>M4_P3_03</t>
    </r>
  </si>
  <si>
    <r>
      <t>M4_P3_03.png</t>
    </r>
  </si>
  <si>
    <r>
      <t>M4_P3_04</t>
    </r>
  </si>
  <si>
    <r>
      <t>M4_P3_04.png</t>
    </r>
  </si>
  <si>
    <r>
      <t>M4_P3_05</t>
    </r>
  </si>
  <si>
    <r>
      <t>M4_P3_05.png</t>
    </r>
  </si>
  <si>
    <r>
      <t>M4_P3_06</t>
    </r>
  </si>
  <si>
    <r>
      <t>M4_P3_06.png</t>
    </r>
  </si>
  <si>
    <r>
      <t>M4_P3_07</t>
    </r>
  </si>
  <si>
    <r>
      <t>M4_P3_07.png</t>
    </r>
  </si>
  <si>
    <r>
      <t>M4_P3_08</t>
    </r>
  </si>
  <si>
    <r>
      <t>M4_P3_08.png</t>
    </r>
  </si>
  <si>
    <r>
      <t>M4_P3_09</t>
    </r>
  </si>
  <si>
    <r>
      <t>M4_P3_09.png</t>
    </r>
  </si>
  <si>
    <r>
      <t>M5_P1_01</t>
    </r>
  </si>
  <si>
    <r>
      <t>M5_P1_01.png</t>
    </r>
  </si>
  <si>
    <r>
      <t>M5_P1_02</t>
    </r>
  </si>
  <si>
    <r>
      <t>M5_P1_02.png</t>
    </r>
  </si>
  <si>
    <r>
      <t>M5_P1_03</t>
    </r>
  </si>
  <si>
    <r>
      <t>M5_P1_03.png</t>
    </r>
  </si>
  <si>
    <r>
      <t>M5_P1_04</t>
    </r>
  </si>
  <si>
    <r>
      <t>M5_P1_04.png</t>
    </r>
  </si>
  <si>
    <r>
      <t>M5_P1_05</t>
    </r>
  </si>
  <si>
    <r>
      <t>M5_P1_05.png</t>
    </r>
  </si>
  <si>
    <r>
      <t>M5_P1_06</t>
    </r>
  </si>
  <si>
    <r>
      <t>M5_P1_06.png</t>
    </r>
  </si>
  <si>
    <r>
      <t>M5_P1_07</t>
    </r>
  </si>
  <si>
    <r>
      <t>M5_P1_07.png</t>
    </r>
  </si>
  <si>
    <r>
      <t>M5_P1_08</t>
    </r>
  </si>
  <si>
    <r>
      <t>M5_P1_08.png</t>
    </r>
  </si>
  <si>
    <r>
      <t>M5_P1_09</t>
    </r>
  </si>
  <si>
    <r>
      <t>M5_P1_09.png</t>
    </r>
  </si>
  <si>
    <r>
      <t>M5_P2_01</t>
    </r>
  </si>
  <si>
    <r>
      <t>M5_P2_01.png</t>
    </r>
  </si>
  <si>
    <r>
      <t>M5_P2_02</t>
    </r>
  </si>
  <si>
    <r>
      <t>M5_P2_02.png</t>
    </r>
  </si>
  <si>
    <r>
      <t>M5_P2_03</t>
    </r>
  </si>
  <si>
    <r>
      <t>M5_P2_03.png</t>
    </r>
  </si>
  <si>
    <r>
      <t>M5_P2_04</t>
    </r>
  </si>
  <si>
    <r>
      <t>M5_P2_04.png</t>
    </r>
  </si>
  <si>
    <r>
      <t>M5_P2_05</t>
    </r>
  </si>
  <si>
    <r>
      <t>M5_P2_05.png</t>
    </r>
  </si>
  <si>
    <r>
      <t>M5_P2_06</t>
    </r>
  </si>
  <si>
    <r>
      <t>M5_P2_06.png</t>
    </r>
  </si>
  <si>
    <r>
      <t>M5_P2_07</t>
    </r>
  </si>
  <si>
    <r>
      <t>M5_P2_07.png</t>
    </r>
  </si>
  <si>
    <r>
      <t>M5_P2_08</t>
    </r>
  </si>
  <si>
    <r>
      <t>M5_P2_08.png</t>
    </r>
  </si>
  <si>
    <r>
      <t>M5_P2_09</t>
    </r>
  </si>
  <si>
    <r>
      <t>M5_P2_09.png</t>
    </r>
  </si>
  <si>
    <r>
      <t>M5_P3_01</t>
    </r>
  </si>
  <si>
    <r>
      <t>M5_P3_01.png</t>
    </r>
  </si>
  <si>
    <r>
      <t>M5_P3_02</t>
    </r>
  </si>
  <si>
    <r>
      <t>M5_P3_02.png</t>
    </r>
  </si>
  <si>
    <r>
      <t>M5_P3_03</t>
    </r>
  </si>
  <si>
    <r>
      <t>M5_P3_03.png</t>
    </r>
  </si>
  <si>
    <r>
      <t>M5_P3_04</t>
    </r>
  </si>
  <si>
    <r>
      <t>M5_P3_04.png</t>
    </r>
  </si>
  <si>
    <r>
      <t>M5_P3_05</t>
    </r>
  </si>
  <si>
    <r>
      <t>M5_P3_05.png</t>
    </r>
  </si>
  <si>
    <r>
      <t>M5_P3_06</t>
    </r>
  </si>
  <si>
    <r>
      <t>M5_P3_06.png</t>
    </r>
  </si>
  <si>
    <r>
      <t>M5_P3_07</t>
    </r>
  </si>
  <si>
    <r>
      <t>M5_P3_07.png</t>
    </r>
  </si>
  <si>
    <r>
      <t>M5_P3_08</t>
    </r>
  </si>
  <si>
    <r>
      <t>M5_P3_08.png</t>
    </r>
  </si>
  <si>
    <r>
      <t>M5_P3_09</t>
    </r>
  </si>
  <si>
    <r>
      <t>M5_P3_09.png</t>
    </r>
  </si>
  <si>
    <r>
      <t>M6_P1_01</t>
    </r>
  </si>
  <si>
    <r>
      <t>M6_P1_01.png</t>
    </r>
  </si>
  <si>
    <r>
      <t>M6_P1_02</t>
    </r>
  </si>
  <si>
    <r>
      <t>M6_P1_02.png</t>
    </r>
  </si>
  <si>
    <r>
      <t>M6_P1_03</t>
    </r>
  </si>
  <si>
    <r>
      <t>M6_P1_03.png</t>
    </r>
  </si>
  <si>
    <r>
      <t>M6_P1_04</t>
    </r>
  </si>
  <si>
    <r>
      <t>M6_P1_04.png</t>
    </r>
  </si>
  <si>
    <r>
      <t>M6_P1_05</t>
    </r>
  </si>
  <si>
    <r>
      <t>M6_P1_05.png</t>
    </r>
  </si>
  <si>
    <r>
      <t>M6_P1_06</t>
    </r>
  </si>
  <si>
    <r>
      <t>M6_P1_06.png</t>
    </r>
  </si>
  <si>
    <r>
      <t>M6_P1_07</t>
    </r>
  </si>
  <si>
    <r>
      <t>M6_P1_07.png</t>
    </r>
  </si>
  <si>
    <r>
      <t>M6_P1_08</t>
    </r>
  </si>
  <si>
    <r>
      <t>M6_P1_08.png</t>
    </r>
  </si>
  <si>
    <r>
      <t>M6_P1_09</t>
    </r>
  </si>
  <si>
    <r>
      <t>M6_P1_09.png</t>
    </r>
  </si>
  <si>
    <r>
      <t>M6_P2_01</t>
    </r>
  </si>
  <si>
    <r>
      <t>M6_P2_01.png</t>
    </r>
  </si>
  <si>
    <r>
      <t>M6_P2_02</t>
    </r>
  </si>
  <si>
    <r>
      <t>M6_P2_02.png</t>
    </r>
  </si>
  <si>
    <r>
      <t>M6_P2_03</t>
    </r>
  </si>
  <si>
    <r>
      <t>M6_P2_03.png</t>
    </r>
  </si>
  <si>
    <r>
      <t>M6_P2_04</t>
    </r>
  </si>
  <si>
    <r>
      <t>M6_P2_04.png</t>
    </r>
  </si>
  <si>
    <r>
      <t>M6_P2_05</t>
    </r>
  </si>
  <si>
    <r>
      <t>M6_P2_05.png</t>
    </r>
  </si>
  <si>
    <r>
      <t>M6_P2_06</t>
    </r>
  </si>
  <si>
    <r>
      <t>M6_P2_06.png</t>
    </r>
  </si>
  <si>
    <r>
      <t>M6_P2_07</t>
    </r>
  </si>
  <si>
    <r>
      <t>M6_P2_07.png</t>
    </r>
  </si>
  <si>
    <r>
      <t>M6_P2_08</t>
    </r>
  </si>
  <si>
    <r>
      <t>M6_P2_08.png</t>
    </r>
  </si>
  <si>
    <r>
      <t>M6_P2_09</t>
    </r>
  </si>
  <si>
    <r>
      <t>M6_P2_09.png</t>
    </r>
  </si>
  <si>
    <r>
      <t>M6_P3_01</t>
    </r>
  </si>
  <si>
    <r>
      <t>M6_P3_01.png</t>
    </r>
  </si>
  <si>
    <r>
      <t>M6_P3_02</t>
    </r>
  </si>
  <si>
    <r>
      <t>M6_P3_02.png</t>
    </r>
  </si>
  <si>
    <r>
      <t>M6_P3_03</t>
    </r>
  </si>
  <si>
    <r>
      <t>M6_P3_03.png</t>
    </r>
  </si>
  <si>
    <r>
      <t>M6_P3_04</t>
    </r>
  </si>
  <si>
    <r>
      <t>M6_P3_04.png</t>
    </r>
  </si>
  <si>
    <r>
      <t>M6_P3_05</t>
    </r>
  </si>
  <si>
    <r>
      <t>M6_P3_05.png</t>
    </r>
  </si>
  <si>
    <r>
      <t>M6_P3_06</t>
    </r>
  </si>
  <si>
    <r>
      <t>M6_P3_06.png</t>
    </r>
  </si>
  <si>
    <r>
      <t>M6_P3_07</t>
    </r>
  </si>
  <si>
    <r>
      <t>M6_P3_07.png</t>
    </r>
  </si>
  <si>
    <r>
      <t>M6_P3_08</t>
    </r>
  </si>
  <si>
    <r>
      <t>M6_P3_08.png</t>
    </r>
  </si>
  <si>
    <r>
      <t>M6_P3_09</t>
    </r>
  </si>
  <si>
    <r>
      <t>M6_P3_09.png</t>
    </r>
  </si>
  <si>
    <r>
      <t>编码备注</t>
    </r>
  </si>
  <si>
    <r>
      <t>NA</t>
    </r>
  </si>
  <si>
    <r>
      <t>Y_A</t>
    </r>
  </si>
  <si>
    <r>
      <t>Y_B</t>
    </r>
  </si>
  <si>
    <r>
      <t>共识Y</t>
    </r>
  </si>
  <si>
    <r>
      <t>A/B是否一致</t>
    </r>
  </si>
  <si>
    <r>
      <t>复核说明</t>
    </r>
  </si>
  <si>
    <r>
      <t>分歧：按预注册规则取均值（保留小数）</t>
    </r>
  </si>
  <si>
    <r>
      <t>两人一致，直接采纳</t>
    </r>
  </si>
  <si>
    <r>
      <t>三类提示条件总体历史失真汇总</t>
    </r>
  </si>
  <si>
    <r>
      <t>名称</t>
    </r>
  </si>
  <si>
    <r>
      <t>Y=0</t>
    </r>
  </si>
  <si>
    <r>
      <t>Y=0.5</t>
    </r>
  </si>
  <si>
    <r>
      <t>Y=1</t>
    </r>
  </si>
  <si>
    <r>
      <t>Y=1.5</t>
    </r>
  </si>
  <si>
    <r>
      <t>Y=2</t>
    </r>
  </si>
  <si>
    <r>
      <t>有效N</t>
    </r>
  </si>
  <si>
    <r>
      <t>2级失真比例</t>
    </r>
  </si>
  <si>
    <r>
      <t>均值Y</t>
    </r>
  </si>
  <si>
    <r>
      <t>95%CI下限</t>
    </r>
  </si>
  <si>
    <r>
      <t>95%CI上限</t>
    </r>
  </si>
  <si>
    <r>
      <t>维度级结果（真实统计后填写）</t>
    </r>
  </si>
  <si>
    <r>
      <t>效应口径</t>
    </r>
  </si>
  <si>
    <r>
      <t>说明</t>
    </r>
  </si>
  <si>
    <r>
      <t>D1 建筑与场景时代一致性</t>
    </r>
  </si>
  <si>
    <r>
      <t>维度分均值（0—2）</t>
    </r>
  </si>
  <si>
    <r>
      <t>D1=f2；D5=f18为稳定指标口径；D2—D4按维度内全部原子指标均值</t>
    </r>
  </si>
  <si>
    <r>
      <t>D2 服饰、器物与武备</t>
    </r>
  </si>
  <si>
    <r>
      <t>D3 族群身份与社会关系</t>
    </r>
  </si>
  <si>
    <r>
      <t>D4 空间构图与历史视觉语法</t>
    </r>
  </si>
  <si>
    <r>
      <t>D5 生成完整性与提示词遵循</t>
    </r>
  </si>
  <si>
    <r>
      <t>图3b使用本区数据。</t>
    </r>
  </si>
  <si>
    <r>
      <t>维度分口径：D1—D5 均按第一轮编码A/B均值（保留小数、每图计一次）：D1=f2、D5=f18 单指标均值；D2—D4 为维度内全部原子指标均值。共识Y与维度分均保留精确小数（0.5/1.5 为独立取值，不四舍五入）。</t>
    </r>
  </si>
  <si>
    <r>
      <t>Bootstrap选择频率πj</t>
    </r>
  </si>
  <si>
    <r>
      <t>剔除M1</t>
    </r>
  </si>
  <si>
    <r>
      <t>剔除M2</t>
    </r>
  </si>
  <si>
    <r>
      <t>剔除M3</t>
    </r>
  </si>
  <si>
    <r>
      <t>剔除M4</t>
    </r>
  </si>
  <si>
    <r>
      <t>剔除M5</t>
    </r>
  </si>
  <si>
    <r>
      <t>剔除M6</t>
    </r>
  </si>
  <si>
    <r>
      <t>入选次数</t>
    </r>
  </si>
  <si>
    <r>
      <t>π达标</t>
    </r>
  </si>
  <si>
    <r>
      <t>最终稳定</t>
    </r>
  </si>
  <si>
    <r>
      <t>方法：特征=编码员A/B 原子指标均值（NA→0，保留小数）；目标=共识效标Y（保留小数）；回归CART（树深≤3，叶节点≥15，random_state=0）；10000 次模型分层 Bootstrap（种子 20260824）；留一模型每次剔除27张保留135张。全数据最终树：树深3、终端节点6。稳定判据：π≥0.60 且六次留一至少5次入选。</t>
    </r>
  </si>
  <si>
    <r>
      <t>最终维度与编码者间信度填写区</t>
    </r>
  </si>
  <si>
    <r>
      <t>总体效标Y信度</t>
    </r>
  </si>
  <si>
    <r>
      <t>值</t>
    </r>
  </si>
  <si>
    <r>
      <t>CI下限</t>
    </r>
  </si>
  <si>
    <r>
      <t>CI上限</t>
    </r>
  </si>
  <si>
    <r>
      <t>线性加权Kappa</t>
    </r>
  </si>
  <si>
    <r>
      <t>两名专家讨论前独立评分；共识Y仅用于维度筛选。</t>
    </r>
  </si>
  <si>
    <r>
      <t>提示</t>
    </r>
  </si>
  <si>
    <r>
      <t>Kappa及CI由R/Python统计后粘贴黄色单元格。</t>
    </r>
  </si>
  <si>
    <r>
      <t>最终维度</t>
    </r>
  </si>
  <si>
    <r>
      <t>稳定原子指标</t>
    </r>
  </si>
  <si>
    <r>
      <t>π范围</t>
    </r>
  </si>
  <si>
    <r>
      <t>留一模型入选次数</t>
    </r>
  </si>
  <si>
    <r>
      <t>线性加权κg</t>
    </r>
  </si>
  <si>
    <r>
      <t>0.273—0.732</t>
    </r>
  </si>
  <si>
    <r>
      <t>2—5</t>
    </r>
  </si>
  <si>
    <r>
      <t>稳定指标：f2</t>
    </r>
  </si>
  <si>
    <r>
      <t>无达标指标</t>
    </r>
  </si>
  <si>
    <r>
      <t>0.010—0.308</t>
    </r>
  </si>
  <si>
    <r>
      <t>0—1</t>
    </r>
  </si>
  <si>
    <r>
      <t>κg按维度内全部原子指标计算</t>
    </r>
  </si>
  <si>
    <r>
      <t>0.092—0.251</t>
    </r>
  </si>
  <si>
    <r>
      <t>0—2</t>
    </r>
  </si>
  <si>
    <r>
      <t>0.081—0.539</t>
    </r>
  </si>
  <si>
    <r>
      <t>0—4</t>
    </r>
  </si>
  <si>
    <r>
      <t>0.051—0.995</t>
    </r>
  </si>
  <si>
    <r>
      <t>0—6</t>
    </r>
  </si>
  <si>
    <r>
      <t>稳定指标：f18</t>
    </r>
  </si>
  <si>
    <r>
      <t>微观合并综合（2828对）</t>
    </r>
  </si>
  <si>
    <r>
      <t>—</t>
    </r>
  </si>
  <si>
    <r>
      <t>κpool为全部2828个图像×指标对池化后的标准线性加权Kappa，仅为总体一致性描述，不能替代分维度κg。</t>
    </r>
  </si>
  <si>
    <r>
      <t>口径：κg 按维度内全部原子指标的图像×指标对合并计算（D1=f2、D5=f18 单指标，等价）；95%CI 为 2000 次单元内分层 Bootstrap（种子 20260824）百分位区间；Krippendorff α 采用区间度量。全部仅依赖编码员A/B 原始评分。</t>
    </r>
  </si>
  <si>
    <r>
      <t>编号</t>
    </r>
  </si>
  <si>
    <r>
      <t>正文/图表字段</t>
    </r>
  </si>
  <si>
    <r>
      <t>应填内容</t>
    </r>
  </si>
  <si>
    <r>
      <t>来源位置</t>
    </r>
  </si>
  <si>
    <r>
      <t>当前值/公式</t>
    </r>
  </si>
  <si>
    <r>
      <t>状态</t>
    </r>
  </si>
  <si>
    <r>
      <t>实际失败次数</t>
    </r>
  </si>
  <si>
    <r>
      <t>失败/拒绝且按预注册规则补足的次数</t>
    </r>
  </si>
  <si>
    <r>
      <t>样本清单!I2:I181</t>
    </r>
  </si>
  <si>
    <r>
      <t>自动</t>
    </r>
  </si>
  <si>
    <r>
      <t>未填写生成状态时保持空白。</t>
    </r>
  </si>
  <si>
    <r>
      <t>总体专家Y Kappa</t>
    </r>
  </si>
  <si>
    <r>
      <t>维度_Kappa!B4</t>
    </r>
  </si>
  <si>
    <r>
      <t>链接</t>
    </r>
  </si>
  <si>
    <r>
      <t>总体专家Y 95% CI下限</t>
    </r>
  </si>
  <si>
    <r>
      <t>维度_Kappa!C4</t>
    </r>
  </si>
  <si>
    <r>
      <t>总体专家Y 95% CI上限</t>
    </r>
  </si>
  <si>
    <r>
      <t>维度_Kappa!D4</t>
    </r>
  </si>
  <si>
    <r>
      <t>稳定原子指标数量</t>
    </r>
  </si>
  <si>
    <r>
      <t>满足π≥0.60且6次留一≥5次的指标数</t>
    </r>
  </si>
  <si>
    <r>
      <t>稳定性_留一!L2:L19</t>
    </r>
  </si>
  <si>
    <r>
      <t>选择频率较高指标及πj</t>
    </r>
  </si>
  <si>
    <r>
      <t>正文列出若干最高指标</t>
    </r>
  </si>
  <si>
    <r>
      <t>稳定性_留一!A:C</t>
    </r>
  </si>
  <si>
    <r>
      <t>f18（π=0.995）；f2（π=0.732）</t>
    </r>
  </si>
  <si>
    <r>
      <t>手工</t>
    </r>
  </si>
  <si>
    <r>
      <t>建议按πj降序选3—5项</t>
    </r>
  </si>
  <si>
    <r>
      <t>最终维度数量</t>
    </r>
  </si>
  <si>
    <r>
      <t>稳定指标归并后的维度数</t>
    </r>
  </si>
  <si>
    <r>
      <t>维度_Kappa!A10:A14</t>
    </r>
  </si>
  <si>
    <r>
      <t>真实稳定性分析后锁定</t>
    </r>
  </si>
  <si>
    <r>
      <t>最终树深</t>
    </r>
  </si>
  <si>
    <r>
      <t>CART输出</t>
    </r>
  </si>
  <si>
    <r>
      <t>统计程序</t>
    </r>
  </si>
  <si>
    <r>
      <t>终端节点数</t>
    </r>
  </si>
  <si>
    <r>
      <t>P1 2级总体失真比例</t>
    </r>
  </si>
  <si>
    <r>
      <t>Y=2/N</t>
    </r>
  </si>
  <si>
    <r>
      <t>提示条件汇总!G4</t>
    </r>
  </si>
  <si>
    <r>
      <t>P2 2级总体失真比例</t>
    </r>
  </si>
  <si>
    <r>
      <t>提示条件汇总!G5</t>
    </r>
  </si>
  <si>
    <r>
      <t>P3 2级总体失真比例</t>
    </r>
  </si>
  <si>
    <r>
      <t>提示条件汇总!G6</t>
    </r>
  </si>
  <si>
    <r>
      <t>建筑比例/器物年代等πj</t>
    </r>
  </si>
  <si>
    <r>
      <t>正文机制段落使用</t>
    </r>
  </si>
  <si>
    <r>
      <t>稳定性_留一!C:C</t>
    </r>
  </si>
  <si>
    <r>
      <t>f2城墙与门楼 π=0.732</t>
    </r>
  </si>
  <si>
    <r>
      <t>按真实入选结果决定写哪些</t>
    </r>
  </si>
  <si>
    <r>
      <t>族群标签化πj</t>
    </r>
  </si>
  <si>
    <r>
      <t>f11选择频率</t>
    </r>
  </si>
  <si>
    <r>
      <t>稳定性_留一!C12</t>
    </r>
  </si>
  <si>
    <r>
      <t>f11位于第12行</t>
    </r>
  </si>
  <si>
    <r>
      <t>D4 Kappa</t>
    </r>
  </si>
  <si>
    <r>
      <t>空间构图与历史视觉语法κ</t>
    </r>
  </si>
  <si>
    <r>
      <t>维度_Kappa!F13</t>
    </r>
  </si>
  <si>
    <r>
      <t>D4 95% CI下限</t>
    </r>
  </si>
  <si>
    <r>
      <t>D4 CI下限</t>
    </r>
  </si>
  <si>
    <r>
      <t>维度_Kappa!G13</t>
    </r>
  </si>
  <si>
    <r>
      <t>D4 95% CI上限</t>
    </r>
  </si>
  <si>
    <r>
      <t>D4 CI上限</t>
    </r>
  </si>
  <si>
    <r>
      <t>维度_Kappa!H13</t>
    </r>
  </si>
  <si>
    <r>
      <t>P1→P2 2级失真变化</t>
    </r>
  </si>
  <si>
    <r>
      <t>P2比例-P1比例</t>
    </r>
  </si>
  <si>
    <r>
      <t>提示条件汇总!G4:G5</t>
    </r>
  </si>
  <si>
    <r>
      <t>负值=下降</t>
    </r>
  </si>
  <si>
    <r>
      <t>P2→P3 2级失真变化</t>
    </r>
  </si>
  <si>
    <r>
      <t>P3比例-P2比例</t>
    </r>
  </si>
  <si>
    <r>
      <t>提示条件汇总!G5:G6</t>
    </r>
  </si>
  <si>
    <r>
      <t>正值=上升</t>
    </r>
  </si>
  <si>
    <r>
      <t>κpool（微观合并）</t>
    </r>
  </si>
  <si>
    <r>
      <t>全部图像×指标对池化后的总体一致性（标准线性加权Kappa）</t>
    </r>
  </si>
  <si>
    <r>
      <t>维度_Kappa!F15</t>
    </r>
  </si>
  <si>
    <r>
      <t>κpool CI下限</t>
    </r>
  </si>
  <si>
    <r>
      <t>95% CI下限</t>
    </r>
  </si>
  <si>
    <r>
      <t>维度_Kappa!G15</t>
    </r>
  </si>
  <si>
    <r>
      <t>κpool CI上限</t>
    </r>
  </si>
  <si>
    <r>
      <t>95% CI上限</t>
    </r>
  </si>
  <si>
    <r>
      <t>维度_Kappa!H15</t>
    </r>
  </si>
  <si>
    <r>
      <t>研究伦理自查编号</t>
    </r>
  </si>
  <si>
    <r>
      <t>伦理审批/自查编号</t>
    </r>
  </si>
  <si>
    <r>
      <t>研究记录</t>
    </r>
  </si>
  <si>
    <r>
      <t>（ ）</t>
    </r>
  </si>
  <si>
    <r>
      <t>如期刊要求提供</t>
    </r>
  </si>
  <si>
    <r>
      <t>条件</t>
    </r>
  </si>
  <si>
    <r>
      <t>完整英文提示词（实际投喂文本）</t>
    </r>
  </si>
  <si>
    <r>
      <t>每模型n</t>
    </r>
  </si>
  <si>
    <r>
      <t>全条件N</t>
    </r>
  </si>
  <si>
    <r>
      <t>Tang dynasty, a Han Chinese scholar and a Sogdian merchant meeting at a Silk Road frontier post, both figures shown in the same scene, with surrounding architecture, a caravan, horses, and everyday objects visible, Tang-dynasty mural painting style.</t>
    </r>
  </si>
  <si>
    <r>
      <t>Tang dynasty, a Han Chinese scholar and a Sogdian merchant meeting at a Silk Road frontier post, both figures shown in the same scene, with surrounding architecture, a caravan, horses, and everyday objects visible. Use historically grounded Tang-period clothing, headwear, belts, low furniture, scroll-format books, vessels, architecture, horse tack, and caravan equipment. Convey the Sogdian merchant’s identity through period-appropriate dress, occupation, and trade context rather than exaggerated facial features or skin color. Tang-dynasty mural painting style.</t>
    </r>
  </si>
  <si>
    <r>
      <t>Tang dynasty, a Han Chinese scholar and a Sogdian merchant at a Silk Road frontier post, with surrounding architecture, a caravan, horses, guards, and everyday objects visible. A tense confrontation has arisen over caravan passage and trade inspection; show guarded gestures, defensive postures, and social tension, without depicting either group as inherently savage or culturally inferior. Use historically grounded Tang-period clothing, headwear, belts, vessels, architecture, weapons, armor, horse tack, and caravan equipment. Convey historical identities through period-appropriate material culture and social context rather than exaggerated facial features or skin color. Tang-dynasty mural painting style.</t>
    </r>
  </si>
</sst>
</file>

<file path=xl/styles.xml><?xml version="1.0" encoding="utf-8"?>
<styleSheet xmlns="http://schemas.openxmlformats.org/spreadsheetml/2006/main">
  <numFmts count="3">
    <numFmt numFmtId="300" formatCode="0.0%"/>
    <numFmt numFmtId="301" formatCode="0.000"/>
    <numFmt numFmtId="302" formatCode="General"/>
  </numFmts>
  <fonts count="9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rlito"/>
      <b val="1"/>
      <sz val="16"/>
    </font>
    <font>
      <name val="Carlito"/>
      <sz val="11"/>
    </font>
    <font>
      <name val="Carlito"/>
      <b val="1"/>
      <sz val="11"/>
    </font>
    <font>
      <name val="Carlito"/>
      <b val="1"/>
      <sz val="14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bgColor rgb="FFE2F0D9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2" fontId="4" fillId="6" borderId="1" xfId="0"/>
    <xf numFmtId="302" fontId="4" fillId="6" borderId="1" xfId="0"/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2" borderId="1" xfId="1" applyFont="1" applyFill="1" applyAlignment="1">
      <alignment horizontal="center" vertical="center" wrapText="1"/>
    </xf>
    <xf numFmtId="302" fontId="4" fillId="6" borderId="1" xfId="1" applyFont="1" applyAlignment="1">
      <alignment vertical="center"/>
    </xf>
    <xf numFmtId="302" fontId="4" fillId="6" borderId="1" xfId="1" applyFont="1" applyAlignment="1">
      <alignment vertical="center" wrapText="1"/>
    </xf>
    <xf numFmtId="302" fontId="5" fillId="2" borderId="1" xfId="1" applyFont="1" applyFill="1" applyAlignment="1">
      <alignment horizontal="center" vertical="center" wrapText="1"/>
    </xf>
    <xf numFmtId="302" fontId="4" fillId="3" borderId="1" xfId="1" applyFont="1" applyFill="1" applyAlignment="1">
      <alignment vertical="center"/>
    </xf>
    <xf numFmtId="302" fontId="4" fillId="4" borderId="1" xfId="1" applyFont="1" applyFill="1" applyAlignment="1">
      <alignment vertical="center"/>
    </xf>
    <xf numFmtId="302" fontId="6" fillId="2" borderId="1" xfId="1" applyFont="1" applyFill="1" applyAlignment="1">
      <alignment horizontal="center" vertical="center"/>
    </xf>
    <xf numFmtId="300" fontId="4" fillId="4" borderId="1" xfId="1" applyNumberFormat="1" applyFont="1" applyFill="1" applyAlignment="1">
      <alignment vertical="center"/>
    </xf>
    <xf numFmtId="301" fontId="4" fillId="4" borderId="1" xfId="1" applyNumberFormat="1" applyFont="1" applyFill="1" applyAlignment="1">
      <alignment vertical="center"/>
    </xf>
    <xf numFmtId="301" fontId="4" fillId="3" borderId="1" xfId="1" applyNumberFormat="1" applyFont="1" applyFill="1" applyAlignment="1">
      <alignment vertical="center"/>
    </xf>
    <xf numFmtId="302" fontId="4" fillId="4" borderId="1" xfId="1" applyFont="1" applyFill="1" applyAlignment="1">
      <alignment vertical="center" wrapText="1"/>
    </xf>
    <xf numFmtId="302" fontId="4" fillId="3" borderId="1" xfId="1" applyFont="1" applyFill="1" applyAlignment="1">
      <alignment vertical="center" wrapText="1"/>
    </xf>
    <xf numFmtId="300" fontId="4" fillId="4" borderId="1" xfId="1" applyNumberFormat="1" applyFont="1" applyFill="1" applyAlignment="1">
      <alignment vertical="center" wrapText="1"/>
    </xf>
    <xf numFmtId="300" fontId="4" fillId="3" borderId="1" xfId="1" applyNumberFormat="1" applyFont="1" applyFill="1" applyAlignment="1">
      <alignment vertical="center" wrapText="1"/>
    </xf>
    <xf fontId="7" fillId="5" borderId="0" xfId="0"/>
    <xf fontId="8" fillId="0" borderId="0" xfId="0"/>
  </cellXfs>
  <cellStyles>
    <cellStyle name="常规" xfId="0" builtinId="0"/>
    <cellStyle name="Normal" xfId="1"/>
  </cellStyles>
  <dxfs count="1">
    <dxf>
      <font>
        <b val="1"/>
      </font>
      <fill>
        <patternFill patternType="solid">
          <bgColor rgb="FFE2F0D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rPr lang="en-US"/>
              <a:t>P1–P3 2</a:t>
            </a:r>
            <a:r>
              <a:rPr lang="zh-CN" altLang="en-US"/>
              <a:t>级总体历史失真比例</a:t>
            </a:r>
          </a:p>
        </c:rich>
      </c:tx>
      <c:overlay val="1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ln>
              <a:prstDash val="solid"/>
            </a:ln>
          </c:spPr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2级失真比例</c:v>
          </c:tx>
          <c:spPr>
            <a:ln>
              <a:prstDash val="solid"/>
            </a:ln>
          </c:spPr>
          <c:invertIfNegative val="1"/>
          <c:cat>
            <c:strRef>
              <c:f>'提示条件汇总'!$A$4:$A$6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'提示条件汇总'!$G$4:$G$6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</c:chart>
  <c:spPr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twoCellAnchor>
    <xdr:from>
      <xdr:col>11</xdr:col>
      <xdr:colOff>0</xdr:colOff>
      <xdr:row>2</xdr:row>
      <xdr:rowOff>0</xdr:rowOff>
    </xdr:from>
    <xdr:to>
      <xdr:col>18</xdr:col>
      <xdr:colOff>0</xdr:colOff>
      <xdr:row>16</xdr:row>
      <xdr:rowOff>0</xdr:rowOff>
    </xdr:to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Z200"/>
  <sheetViews>
    <sheetView showGridLines="1" workbookViewId="0"/>
  </sheetViews>
  <sheetFormatPr baseColWidth="8" defaultRowHeight="13.8"/>
  <cols>
    <col min="1" max="1" width="18" customWidth="1"/>
    <col min="2" max="2" width="34" customWidth="1"/>
    <col min="4" max="4" width="16" customWidth="1"/>
    <col min="5" max="5" width="34" customWidth="1"/>
    <col min="6" max="8" width="16" customWidth="1"/>
  </cols>
  <sheetData>
    <row r="1" spans="1:26" ht="21" customHeight="1">
      <c r="A1" s="4" t="s">
        <v>180</v>
      </c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6" t="s"/>
      <c r="B2" s="6" t="s"/>
      <c r="C2" s="6" t="s"/>
      <c r="D2" s="6" t="s"/>
      <c r="E2" s="6" t="s"/>
      <c r="F2" s="6" t="s"/>
      <c r="G2" s="6" t="s"/>
      <c r="H2" s="6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7" t="s">
        <v>188</v>
      </c>
      <c r="B3" s="7" t="s">
        <v>189</v>
      </c>
      <c r="C3" s="6" t="s"/>
      <c r="D3" s="7" t="s">
        <v>190</v>
      </c>
      <c r="E3" s="7" t="s">
        <v>191</v>
      </c>
      <c r="F3" s="7" t="s">
        <v>192</v>
      </c>
      <c r="G3" s="6" t="s"/>
      <c r="H3" s="6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6" t="s">
        <v>193</v>
      </c>
      <c r="B4" s="6">
        <v>6</v>
      </c>
      <c r="C4" s="6" t="s"/>
      <c r="D4" s="6" t="s">
        <v>194</v>
      </c>
      <c r="E4" s="6" t="s">
        <v>195</v>
      </c>
      <c r="F4" s="6">
        <v>27</v>
      </c>
      <c r="G4" s="6" t="s"/>
      <c r="H4" s="6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6" t="s">
        <v>196</v>
      </c>
      <c r="B5" s="6">
        <v>3</v>
      </c>
      <c r="C5" s="6" t="s"/>
      <c r="D5" s="6" t="s">
        <v>197</v>
      </c>
      <c r="E5" s="6" t="s">
        <v>198</v>
      </c>
      <c r="F5" s="6">
        <v>27</v>
      </c>
      <c r="G5" s="6" t="s"/>
      <c r="H5" s="6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 ht="27.6" customHeight="1">
      <c r="A6" s="6" t="s">
        <v>199</v>
      </c>
      <c r="B6" s="6">
        <v>9</v>
      </c>
      <c r="C6" s="6" t="s"/>
      <c r="D6" s="6" t="s">
        <v>200</v>
      </c>
      <c r="E6" s="6" t="s">
        <v>201</v>
      </c>
      <c r="F6" s="6">
        <v>27</v>
      </c>
      <c r="G6" s="6" t="s"/>
      <c r="H6" s="6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6" t="s">
        <v>202</v>
      </c>
      <c r="B7" s="6">
        <v>162</v>
      </c>
      <c r="C7" s="6" t="s"/>
      <c r="D7" s="6" t="s">
        <v>203</v>
      </c>
      <c r="E7" s="6" t="s">
        <v>204</v>
      </c>
      <c r="F7" s="6">
        <v>27</v>
      </c>
      <c r="G7" s="6" t="s"/>
      <c r="H7" s="6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6" t="s">
        <v>205</v>
      </c>
      <c r="B8" s="6">
        <v>27</v>
      </c>
      <c r="C8" s="6" t="s"/>
      <c r="D8" s="6" t="s">
        <v>206</v>
      </c>
      <c r="E8" s="6" t="s">
        <v>207</v>
      </c>
      <c r="F8" s="6">
        <v>27</v>
      </c>
      <c r="G8" s="6" t="s"/>
      <c r="H8" s="6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6" t="s">
        <v>208</v>
      </c>
      <c r="B9" s="6">
        <v>54</v>
      </c>
      <c r="C9" s="6" t="s"/>
      <c r="D9" s="6" t="s">
        <v>209</v>
      </c>
      <c r="E9" s="6" t="s">
        <v>210</v>
      </c>
      <c r="F9" s="6">
        <v>27</v>
      </c>
      <c r="G9" s="6" t="s"/>
      <c r="H9" s="6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6" t="s">
        <v>211</v>
      </c>
      <c r="B10" s="6">
        <v>18</v>
      </c>
      <c r="C10" s="6" t="s"/>
      <c r="D10" s="6" t="s"/>
      <c r="E10" s="6" t="s"/>
      <c r="F10" s="6" t="s"/>
      <c r="G10" s="6" t="s"/>
      <c r="H10" s="6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6" t="s">
        <v>212</v>
      </c>
      <c r="B11" s="6" t="s">
        <v>213</v>
      </c>
      <c r="C11" s="6" t="s"/>
      <c r="D11" s="6" t="s"/>
      <c r="E11" s="6" t="s"/>
      <c r="F11" s="6" t="s"/>
      <c r="G11" s="6" t="s"/>
      <c r="H11" s="6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6" t="s">
        <v>214</v>
      </c>
      <c r="B12" s="6">
        <v>18</v>
      </c>
      <c r="C12" s="6" t="s"/>
      <c r="D12" s="6" t="s"/>
      <c r="E12" s="6" t="s"/>
      <c r="F12" s="6" t="s"/>
      <c r="G12" s="6" t="s"/>
      <c r="H12" s="6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6" t="s">
        <v>215</v>
      </c>
      <c r="B13" s="6" t="s">
        <v>216</v>
      </c>
      <c r="C13" s="6" t="s"/>
      <c r="D13" s="6" t="s"/>
      <c r="E13" s="6" t="s"/>
      <c r="F13" s="6" t="s"/>
      <c r="G13" s="6" t="s"/>
      <c r="H13" s="6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6" t="s"/>
      <c r="B14" s="6" t="s"/>
      <c r="C14" s="6" t="s"/>
      <c r="D14" s="6" t="s"/>
      <c r="E14" s="6" t="s"/>
      <c r="F14" s="6" t="s"/>
      <c r="G14" s="6" t="s"/>
      <c r="H14" s="6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6" t="s"/>
      <c r="B15" s="6" t="s"/>
      <c r="C15" s="6" t="s"/>
      <c r="D15" s="6" t="s"/>
      <c r="E15" s="6" t="s"/>
      <c r="F15" s="6" t="s"/>
      <c r="G15" s="6" t="s"/>
      <c r="H15" s="6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7" t="s">
        <v>217</v>
      </c>
      <c r="B16" s="7" t="s">
        <v>218</v>
      </c>
      <c r="C16" s="6" t="s"/>
      <c r="D16" s="7" t="s">
        <v>219</v>
      </c>
      <c r="E16" s="7" t="s">
        <v>220</v>
      </c>
      <c r="F16" s="7" t="s"/>
      <c r="G16" s="7" t="s"/>
      <c r="H16" s="7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6" t="s">
        <v>221</v>
      </c>
      <c r="B17" s="6" t="s">
        <v>222</v>
      </c>
      <c r="C17" s="6" t="s"/>
      <c r="D17" s="6" t="s">
        <v>223</v>
      </c>
      <c r="E17" s="6" t="s">
        <v>224</v>
      </c>
      <c r="F17" s="6" t="s"/>
      <c r="G17" s="6" t="s"/>
      <c r="H17" s="6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6" t="s">
        <v>225</v>
      </c>
      <c r="B18" s="6" t="s">
        <v>226</v>
      </c>
      <c r="C18" s="6" t="s"/>
      <c r="D18" s="6" t="s">
        <v>227</v>
      </c>
      <c r="E18" s="6" t="s">
        <v>228</v>
      </c>
      <c r="F18" s="6" t="s"/>
      <c r="G18" s="6" t="s"/>
      <c r="H18" s="6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6" t="s">
        <v>229</v>
      </c>
      <c r="B19" s="6" t="s">
        <v>230</v>
      </c>
      <c r="C19" s="6" t="s"/>
      <c r="D19" s="6" t="s">
        <v>231</v>
      </c>
      <c r="E19" s="6" t="s">
        <v>232</v>
      </c>
      <c r="F19" s="6" t="s"/>
      <c r="G19" s="6" t="s"/>
      <c r="H19" s="6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 ht="27.6" customHeight="1">
      <c r="A20" s="6" t="s">
        <v>233</v>
      </c>
      <c r="B20" s="6" t="s">
        <v>234</v>
      </c>
      <c r="C20" s="6" t="s"/>
      <c r="D20" s="6" t="s">
        <v>235</v>
      </c>
      <c r="E20" s="6" t="s">
        <v>236</v>
      </c>
      <c r="F20" s="6" t="s"/>
      <c r="G20" s="6" t="s"/>
      <c r="H20" s="6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 ht="41.4" customHeight="1">
      <c r="A21" s="6" t="s">
        <v>237</v>
      </c>
      <c r="B21" s="6" t="s">
        <v>238</v>
      </c>
      <c r="C21" s="6" t="s"/>
      <c r="D21" s="6" t="s">
        <v>239</v>
      </c>
      <c r="E21" s="6" t="s">
        <v>240</v>
      </c>
      <c r="F21" s="6" t="s"/>
      <c r="G21" s="6" t="s"/>
      <c r="H21" s="6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6" t="s">
        <v>241</v>
      </c>
      <c r="B22" s="6" t="s">
        <v>242</v>
      </c>
      <c r="C22" s="6" t="s"/>
      <c r="D22" s="6" t="s"/>
      <c r="E22" s="6" t="s"/>
      <c r="F22" s="6" t="s"/>
      <c r="G22" s="6" t="s"/>
      <c r="H22" s="6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6" t="s">
        <v>243</v>
      </c>
      <c r="B23" s="6" t="s">
        <v>244</v>
      </c>
      <c r="C23" s="6" t="s"/>
      <c r="D23" s="6" t="s"/>
      <c r="E23" s="6" t="s"/>
      <c r="F23" s="6" t="s"/>
      <c r="G23" s="6" t="s"/>
      <c r="H23" s="6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6" t="s">
        <v>245</v>
      </c>
      <c r="B24" s="6" t="s">
        <v>246</v>
      </c>
      <c r="C24" s="6" t="s"/>
      <c r="D24" s="6" t="s"/>
      <c r="E24" s="6" t="s"/>
      <c r="F24" s="6" t="s"/>
      <c r="G24" s="6" t="s"/>
      <c r="H24" s="6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6" t="s">
        <v>247</v>
      </c>
      <c r="B25" s="6" t="s">
        <v>248</v>
      </c>
      <c r="C25" s="6" t="s"/>
      <c r="D25" s="6" t="s"/>
      <c r="E25" s="6" t="s"/>
      <c r="F25" s="6" t="s"/>
      <c r="G25" s="6" t="s"/>
      <c r="H25" s="6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>
        <v>249</v>
      </c>
      <c r="B26" s="5" t="s">
        <v>250</v>
      </c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>
        <v>251</v>
      </c>
      <c r="B27" s="5" t="s">
        <v>252</v>
      </c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>
        <v>253</v>
      </c>
      <c r="B28" s="5" t="s">
        <v>254</v>
      </c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>
        <v>255</v>
      </c>
      <c r="B29" s="5" t="s">
        <v>256</v>
      </c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>
        <v>257</v>
      </c>
      <c r="B30" s="5" t="s">
        <v>258</v>
      </c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>
        <v>259</v>
      </c>
      <c r="B31" s="5" t="s">
        <v>260</v>
      </c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>
        <v>261</v>
      </c>
      <c r="B32" s="5" t="s">
        <v>262</v>
      </c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>
        <v>263</v>
      </c>
      <c r="B33" s="5" t="s">
        <v>264</v>
      </c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>
        <v>265</v>
      </c>
      <c r="B34" s="5" t="s">
        <v>266</v>
      </c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Z182"/>
  <sheetViews>
    <sheetView showGridLines="1" topLeftCell="A13" zoomScaleNormal="100" workbookViewId="0"/>
  </sheetViews>
  <sheetFormatPr baseColWidth="8" defaultRowHeight="13.8"/>
  <cols>
    <col min="1" max="1" width="16" customWidth="1"/>
    <col min="2" max="2" width="10" customWidth="1"/>
    <col min="3" max="3" width="28" customWidth="1"/>
    <col min="4" max="4" width="10" customWidth="1"/>
    <col min="5" max="5" width="16" customWidth="1"/>
    <col min="6" max="6" width="10" customWidth="1"/>
    <col min="7" max="7" width="20" customWidth="1"/>
    <col min="8" max="8" width="14" customWidth="1"/>
    <col min="9" max="9" width="12" customWidth="1"/>
    <col min="10" max="10" width="26" customWidth="1"/>
    <col min="11" max="11" width="24" customWidth="1"/>
  </cols>
  <sheetData>
    <row r="1" spans="1:26">
      <c r="A1" s="7" t="s">
        <v>267</v>
      </c>
      <c r="B1" s="7" t="s">
        <v>190</v>
      </c>
      <c r="C1" s="7" t="s">
        <v>191</v>
      </c>
      <c r="D1" s="7" t="s">
        <v>268</v>
      </c>
      <c r="E1" s="7" t="s">
        <v>269</v>
      </c>
      <c r="F1" s="7" t="s">
        <v>270</v>
      </c>
      <c r="G1" s="7" t="s">
        <v>271</v>
      </c>
      <c r="H1" s="7" t="s">
        <v>272</v>
      </c>
      <c r="I1" s="7" t="s">
        <v>273</v>
      </c>
      <c r="J1" s="7" t="s">
        <v>274</v>
      </c>
      <c r="K1" s="7" t="s">
        <v>275</v>
      </c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5" t="s">
        <v>276</v>
      </c>
      <c r="B2" s="5" t="s">
        <v>194</v>
      </c>
      <c r="C2" s="5" t="s">
        <v>195</v>
      </c>
      <c r="D2" s="5" t="s">
        <v>277</v>
      </c>
      <c r="E2" s="5" t="s">
        <v>278</v>
      </c>
      <c r="F2" s="5">
        <v>1</v>
      </c>
      <c r="G2" s="5" t="s">
        <v>279</v>
      </c>
      <c r="H2" s="8" t="s"/>
      <c r="I2" s="8" t="s"/>
      <c r="J2" s="8" t="s"/>
      <c r="K2" s="8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5" t="s">
        <v>280</v>
      </c>
      <c r="B3" s="5" t="s">
        <v>194</v>
      </c>
      <c r="C3" s="5" t="s">
        <v>195</v>
      </c>
      <c r="D3" s="5" t="s">
        <v>277</v>
      </c>
      <c r="E3" s="5" t="s">
        <v>278</v>
      </c>
      <c r="F3" s="5">
        <v>2</v>
      </c>
      <c r="G3" s="5" t="s">
        <v>281</v>
      </c>
      <c r="H3" s="8" t="s"/>
      <c r="I3" s="8" t="s"/>
      <c r="J3" s="8" t="s"/>
      <c r="K3" s="8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5" t="s">
        <v>282</v>
      </c>
      <c r="B4" s="5" t="s">
        <v>194</v>
      </c>
      <c r="C4" s="5" t="s">
        <v>195</v>
      </c>
      <c r="D4" s="5" t="s">
        <v>277</v>
      </c>
      <c r="E4" s="5" t="s">
        <v>278</v>
      </c>
      <c r="F4" s="5">
        <v>3</v>
      </c>
      <c r="G4" s="5" t="s">
        <v>283</v>
      </c>
      <c r="H4" s="8" t="s"/>
      <c r="I4" s="8" t="s"/>
      <c r="J4" s="8" t="s"/>
      <c r="K4" s="8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5" t="s">
        <v>284</v>
      </c>
      <c r="B5" s="5" t="s">
        <v>194</v>
      </c>
      <c r="C5" s="5" t="s">
        <v>195</v>
      </c>
      <c r="D5" s="5" t="s">
        <v>277</v>
      </c>
      <c r="E5" s="5" t="s">
        <v>278</v>
      </c>
      <c r="F5" s="5">
        <v>4</v>
      </c>
      <c r="G5" s="5" t="s">
        <v>285</v>
      </c>
      <c r="H5" s="8" t="s"/>
      <c r="I5" s="8" t="s"/>
      <c r="J5" s="8" t="s"/>
      <c r="K5" s="8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5" t="s">
        <v>286</v>
      </c>
      <c r="B6" s="5" t="s">
        <v>194</v>
      </c>
      <c r="C6" s="5" t="s">
        <v>195</v>
      </c>
      <c r="D6" s="5" t="s">
        <v>277</v>
      </c>
      <c r="E6" s="5" t="s">
        <v>278</v>
      </c>
      <c r="F6" s="5">
        <v>5</v>
      </c>
      <c r="G6" s="5" t="s">
        <v>287</v>
      </c>
      <c r="H6" s="8" t="s"/>
      <c r="I6" s="8" t="s"/>
      <c r="J6" s="8" t="s"/>
      <c r="K6" s="8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5" t="s">
        <v>288</v>
      </c>
      <c r="B7" s="5" t="s">
        <v>194</v>
      </c>
      <c r="C7" s="5" t="s">
        <v>195</v>
      </c>
      <c r="D7" s="5" t="s">
        <v>277</v>
      </c>
      <c r="E7" s="5" t="s">
        <v>278</v>
      </c>
      <c r="F7" s="5">
        <v>6</v>
      </c>
      <c r="G7" s="5" t="s">
        <v>289</v>
      </c>
      <c r="H7" s="8" t="s"/>
      <c r="I7" s="8" t="s"/>
      <c r="J7" s="8" t="s"/>
      <c r="K7" s="8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5" t="s">
        <v>290</v>
      </c>
      <c r="B8" s="5" t="s">
        <v>194</v>
      </c>
      <c r="C8" s="5" t="s">
        <v>195</v>
      </c>
      <c r="D8" s="5" t="s">
        <v>277</v>
      </c>
      <c r="E8" s="5" t="s">
        <v>278</v>
      </c>
      <c r="F8" s="5">
        <v>7</v>
      </c>
      <c r="G8" s="5" t="s">
        <v>291</v>
      </c>
      <c r="H8" s="8" t="s"/>
      <c r="I8" s="8" t="s"/>
      <c r="J8" s="8" t="s"/>
      <c r="K8" s="8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5" t="s">
        <v>292</v>
      </c>
      <c r="B9" s="5" t="s">
        <v>194</v>
      </c>
      <c r="C9" s="5" t="s">
        <v>195</v>
      </c>
      <c r="D9" s="5" t="s">
        <v>277</v>
      </c>
      <c r="E9" s="5" t="s">
        <v>278</v>
      </c>
      <c r="F9" s="5">
        <v>8</v>
      </c>
      <c r="G9" s="5" t="s">
        <v>293</v>
      </c>
      <c r="H9" s="8" t="s"/>
      <c r="I9" s="8" t="s"/>
      <c r="J9" s="8" t="s"/>
      <c r="K9" s="8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5" t="s">
        <v>294</v>
      </c>
      <c r="B10" s="5" t="s">
        <v>194</v>
      </c>
      <c r="C10" s="5" t="s">
        <v>195</v>
      </c>
      <c r="D10" s="5" t="s">
        <v>277</v>
      </c>
      <c r="E10" s="5" t="s">
        <v>278</v>
      </c>
      <c r="F10" s="5">
        <v>9</v>
      </c>
      <c r="G10" s="5" t="s">
        <v>295</v>
      </c>
      <c r="H10" s="8" t="s"/>
      <c r="I10" s="8" t="s"/>
      <c r="J10" s="8" t="s"/>
      <c r="K10" s="8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5" t="s">
        <v>296</v>
      </c>
      <c r="B11" s="5" t="s">
        <v>194</v>
      </c>
      <c r="C11" s="5" t="s">
        <v>195</v>
      </c>
      <c r="D11" s="5" t="s">
        <v>297</v>
      </c>
      <c r="E11" s="5" t="s">
        <v>298</v>
      </c>
      <c r="F11" s="5">
        <v>1</v>
      </c>
      <c r="G11" s="5" t="s">
        <v>299</v>
      </c>
      <c r="H11" s="8" t="s"/>
      <c r="I11" s="8" t="s"/>
      <c r="J11" s="8" t="s"/>
      <c r="K11" s="8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5" t="s">
        <v>300</v>
      </c>
      <c r="B12" s="5" t="s">
        <v>194</v>
      </c>
      <c r="C12" s="5" t="s">
        <v>195</v>
      </c>
      <c r="D12" s="5" t="s">
        <v>297</v>
      </c>
      <c r="E12" s="5" t="s">
        <v>298</v>
      </c>
      <c r="F12" s="5">
        <v>2</v>
      </c>
      <c r="G12" s="5" t="s">
        <v>301</v>
      </c>
      <c r="H12" s="8" t="s"/>
      <c r="I12" s="8" t="s"/>
      <c r="J12" s="8" t="s"/>
      <c r="K12" s="8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5" t="s">
        <v>302</v>
      </c>
      <c r="B13" s="5" t="s">
        <v>194</v>
      </c>
      <c r="C13" s="5" t="s">
        <v>195</v>
      </c>
      <c r="D13" s="5" t="s">
        <v>297</v>
      </c>
      <c r="E13" s="5" t="s">
        <v>298</v>
      </c>
      <c r="F13" s="5">
        <v>3</v>
      </c>
      <c r="G13" s="5" t="s">
        <v>303</v>
      </c>
      <c r="H13" s="8" t="s"/>
      <c r="I13" s="8" t="s"/>
      <c r="J13" s="8" t="s"/>
      <c r="K13" s="8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5" t="s">
        <v>304</v>
      </c>
      <c r="B14" s="5" t="s">
        <v>194</v>
      </c>
      <c r="C14" s="5" t="s">
        <v>195</v>
      </c>
      <c r="D14" s="5" t="s">
        <v>297</v>
      </c>
      <c r="E14" s="5" t="s">
        <v>298</v>
      </c>
      <c r="F14" s="5">
        <v>4</v>
      </c>
      <c r="G14" s="5" t="s">
        <v>305</v>
      </c>
      <c r="H14" s="8" t="s"/>
      <c r="I14" s="8" t="s"/>
      <c r="J14" s="8" t="s"/>
      <c r="K14" s="8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5" t="s">
        <v>306</v>
      </c>
      <c r="B15" s="5" t="s">
        <v>194</v>
      </c>
      <c r="C15" s="5" t="s">
        <v>195</v>
      </c>
      <c r="D15" s="5" t="s">
        <v>297</v>
      </c>
      <c r="E15" s="5" t="s">
        <v>298</v>
      </c>
      <c r="F15" s="5">
        <v>5</v>
      </c>
      <c r="G15" s="5" t="s">
        <v>307</v>
      </c>
      <c r="H15" s="8" t="s"/>
      <c r="I15" s="8" t="s"/>
      <c r="J15" s="8" t="s"/>
      <c r="K15" s="8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5" t="s">
        <v>308</v>
      </c>
      <c r="B16" s="5" t="s">
        <v>194</v>
      </c>
      <c r="C16" s="5" t="s">
        <v>195</v>
      </c>
      <c r="D16" s="5" t="s">
        <v>297</v>
      </c>
      <c r="E16" s="5" t="s">
        <v>298</v>
      </c>
      <c r="F16" s="5">
        <v>6</v>
      </c>
      <c r="G16" s="5" t="s">
        <v>309</v>
      </c>
      <c r="H16" s="8" t="s"/>
      <c r="I16" s="8" t="s"/>
      <c r="J16" s="8" t="s"/>
      <c r="K16" s="8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5" t="s">
        <v>310</v>
      </c>
      <c r="B17" s="5" t="s">
        <v>194</v>
      </c>
      <c r="C17" s="5" t="s">
        <v>195</v>
      </c>
      <c r="D17" s="5" t="s">
        <v>297</v>
      </c>
      <c r="E17" s="5" t="s">
        <v>298</v>
      </c>
      <c r="F17" s="5">
        <v>7</v>
      </c>
      <c r="G17" s="5" t="s">
        <v>311</v>
      </c>
      <c r="H17" s="8" t="s"/>
      <c r="I17" s="8" t="s"/>
      <c r="J17" s="8" t="s"/>
      <c r="K17" s="8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5" t="s">
        <v>312</v>
      </c>
      <c r="B18" s="5" t="s">
        <v>194</v>
      </c>
      <c r="C18" s="5" t="s">
        <v>195</v>
      </c>
      <c r="D18" s="5" t="s">
        <v>297</v>
      </c>
      <c r="E18" s="5" t="s">
        <v>298</v>
      </c>
      <c r="F18" s="5">
        <v>8</v>
      </c>
      <c r="G18" s="5" t="s">
        <v>313</v>
      </c>
      <c r="H18" s="8" t="s"/>
      <c r="I18" s="8" t="s"/>
      <c r="J18" s="8" t="s"/>
      <c r="K18" s="8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5" t="s">
        <v>314</v>
      </c>
      <c r="B19" s="5" t="s">
        <v>194</v>
      </c>
      <c r="C19" s="5" t="s">
        <v>195</v>
      </c>
      <c r="D19" s="5" t="s">
        <v>297</v>
      </c>
      <c r="E19" s="5" t="s">
        <v>298</v>
      </c>
      <c r="F19" s="5">
        <v>9</v>
      </c>
      <c r="G19" s="5" t="s">
        <v>315</v>
      </c>
      <c r="H19" s="8" t="s"/>
      <c r="I19" s="8" t="s"/>
      <c r="J19" s="8" t="s"/>
      <c r="K19" s="8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5" t="s">
        <v>316</v>
      </c>
      <c r="B20" s="5" t="s">
        <v>194</v>
      </c>
      <c r="C20" s="5" t="s">
        <v>195</v>
      </c>
      <c r="D20" s="5" t="s">
        <v>317</v>
      </c>
      <c r="E20" s="5" t="s">
        <v>318</v>
      </c>
      <c r="F20" s="5">
        <v>1</v>
      </c>
      <c r="G20" s="5" t="s">
        <v>319</v>
      </c>
      <c r="H20" s="8" t="s"/>
      <c r="I20" s="8" t="s"/>
      <c r="J20" s="8" t="s"/>
      <c r="K20" s="8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5" t="s">
        <v>320</v>
      </c>
      <c r="B21" s="5" t="s">
        <v>194</v>
      </c>
      <c r="C21" s="5" t="s">
        <v>195</v>
      </c>
      <c r="D21" s="5" t="s">
        <v>317</v>
      </c>
      <c r="E21" s="5" t="s">
        <v>318</v>
      </c>
      <c r="F21" s="5">
        <v>2</v>
      </c>
      <c r="G21" s="5" t="s">
        <v>321</v>
      </c>
      <c r="H21" s="8" t="s"/>
      <c r="I21" s="8" t="s"/>
      <c r="J21" s="8" t="s"/>
      <c r="K21" s="8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5" t="s">
        <v>322</v>
      </c>
      <c r="B22" s="5" t="s">
        <v>194</v>
      </c>
      <c r="C22" s="5" t="s">
        <v>195</v>
      </c>
      <c r="D22" s="5" t="s">
        <v>317</v>
      </c>
      <c r="E22" s="5" t="s">
        <v>318</v>
      </c>
      <c r="F22" s="5">
        <v>3</v>
      </c>
      <c r="G22" s="5" t="s">
        <v>323</v>
      </c>
      <c r="H22" s="8" t="s"/>
      <c r="I22" s="8" t="s"/>
      <c r="J22" s="8" t="s"/>
      <c r="K22" s="8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5" t="s">
        <v>324</v>
      </c>
      <c r="B23" s="5" t="s">
        <v>194</v>
      </c>
      <c r="C23" s="5" t="s">
        <v>195</v>
      </c>
      <c r="D23" s="5" t="s">
        <v>317</v>
      </c>
      <c r="E23" s="5" t="s">
        <v>318</v>
      </c>
      <c r="F23" s="5">
        <v>4</v>
      </c>
      <c r="G23" s="5" t="s">
        <v>325</v>
      </c>
      <c r="H23" s="8" t="s"/>
      <c r="I23" s="8" t="s"/>
      <c r="J23" s="8" t="s"/>
      <c r="K23" s="8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5" t="s">
        <v>326</v>
      </c>
      <c r="B24" s="5" t="s">
        <v>194</v>
      </c>
      <c r="C24" s="5" t="s">
        <v>195</v>
      </c>
      <c r="D24" s="5" t="s">
        <v>317</v>
      </c>
      <c r="E24" s="5" t="s">
        <v>318</v>
      </c>
      <c r="F24" s="5">
        <v>5</v>
      </c>
      <c r="G24" s="5" t="s">
        <v>327</v>
      </c>
      <c r="H24" s="8" t="s"/>
      <c r="I24" s="8" t="s"/>
      <c r="J24" s="8" t="s"/>
      <c r="K24" s="8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5" t="s">
        <v>328</v>
      </c>
      <c r="B25" s="5" t="s">
        <v>194</v>
      </c>
      <c r="C25" s="5" t="s">
        <v>195</v>
      </c>
      <c r="D25" s="5" t="s">
        <v>317</v>
      </c>
      <c r="E25" s="5" t="s">
        <v>318</v>
      </c>
      <c r="F25" s="5">
        <v>6</v>
      </c>
      <c r="G25" s="5" t="s">
        <v>329</v>
      </c>
      <c r="H25" s="8" t="s"/>
      <c r="I25" s="8" t="s"/>
      <c r="J25" s="8" t="s"/>
      <c r="K25" s="8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>
        <v>330</v>
      </c>
      <c r="B26" s="5" t="s">
        <v>194</v>
      </c>
      <c r="C26" s="5" t="s">
        <v>195</v>
      </c>
      <c r="D26" s="5" t="s">
        <v>317</v>
      </c>
      <c r="E26" s="5" t="s">
        <v>318</v>
      </c>
      <c r="F26" s="5">
        <v>7</v>
      </c>
      <c r="G26" s="5" t="s">
        <v>331</v>
      </c>
      <c r="H26" s="8" t="s"/>
      <c r="I26" s="8" t="s"/>
      <c r="J26" s="8" t="s"/>
      <c r="K26" s="8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>
        <v>332</v>
      </c>
      <c r="B27" s="5" t="s">
        <v>194</v>
      </c>
      <c r="C27" s="5" t="s">
        <v>195</v>
      </c>
      <c r="D27" s="5" t="s">
        <v>317</v>
      </c>
      <c r="E27" s="5" t="s">
        <v>318</v>
      </c>
      <c r="F27" s="5">
        <v>8</v>
      </c>
      <c r="G27" s="5" t="s">
        <v>333</v>
      </c>
      <c r="H27" s="8" t="s"/>
      <c r="I27" s="8" t="s"/>
      <c r="J27" s="8" t="s"/>
      <c r="K27" s="8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>
        <v>334</v>
      </c>
      <c r="B28" s="5" t="s">
        <v>194</v>
      </c>
      <c r="C28" s="5" t="s">
        <v>195</v>
      </c>
      <c r="D28" s="5" t="s">
        <v>317</v>
      </c>
      <c r="E28" s="5" t="s">
        <v>318</v>
      </c>
      <c r="F28" s="5">
        <v>9</v>
      </c>
      <c r="G28" s="5" t="s">
        <v>335</v>
      </c>
      <c r="H28" s="8" t="s"/>
      <c r="I28" s="8" t="s"/>
      <c r="J28" s="8" t="s"/>
      <c r="K28" s="8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>
        <v>336</v>
      </c>
      <c r="B29" s="5" t="s">
        <v>197</v>
      </c>
      <c r="C29" s="5" t="s">
        <v>198</v>
      </c>
      <c r="D29" s="5" t="s">
        <v>277</v>
      </c>
      <c r="E29" s="5" t="s">
        <v>278</v>
      </c>
      <c r="F29" s="5">
        <v>1</v>
      </c>
      <c r="G29" s="5" t="s">
        <v>337</v>
      </c>
      <c r="H29" s="8" t="s"/>
      <c r="I29" s="8" t="s"/>
      <c r="J29" s="8" t="s"/>
      <c r="K29" s="8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>
        <v>338</v>
      </c>
      <c r="B30" s="5" t="s">
        <v>197</v>
      </c>
      <c r="C30" s="5" t="s">
        <v>198</v>
      </c>
      <c r="D30" s="5" t="s">
        <v>277</v>
      </c>
      <c r="E30" s="5" t="s">
        <v>278</v>
      </c>
      <c r="F30" s="5">
        <v>2</v>
      </c>
      <c r="G30" s="5" t="s">
        <v>339</v>
      </c>
      <c r="H30" s="8" t="s"/>
      <c r="I30" s="8" t="s"/>
      <c r="J30" s="8" t="s"/>
      <c r="K30" s="8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>
        <v>340</v>
      </c>
      <c r="B31" s="5" t="s">
        <v>197</v>
      </c>
      <c r="C31" s="5" t="s">
        <v>198</v>
      </c>
      <c r="D31" s="5" t="s">
        <v>277</v>
      </c>
      <c r="E31" s="5" t="s">
        <v>278</v>
      </c>
      <c r="F31" s="5">
        <v>3</v>
      </c>
      <c r="G31" s="5" t="s">
        <v>341</v>
      </c>
      <c r="H31" s="8" t="s"/>
      <c r="I31" s="8" t="s"/>
      <c r="J31" s="8" t="s"/>
      <c r="K31" s="8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>
        <v>342</v>
      </c>
      <c r="B32" s="5" t="s">
        <v>197</v>
      </c>
      <c r="C32" s="5" t="s">
        <v>198</v>
      </c>
      <c r="D32" s="5" t="s">
        <v>277</v>
      </c>
      <c r="E32" s="5" t="s">
        <v>278</v>
      </c>
      <c r="F32" s="5">
        <v>4</v>
      </c>
      <c r="G32" s="5" t="s">
        <v>343</v>
      </c>
      <c r="H32" s="8" t="s"/>
      <c r="I32" s="8" t="s"/>
      <c r="J32" s="8" t="s"/>
      <c r="K32" s="8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>
        <v>344</v>
      </c>
      <c r="B33" s="5" t="s">
        <v>197</v>
      </c>
      <c r="C33" s="5" t="s">
        <v>198</v>
      </c>
      <c r="D33" s="5" t="s">
        <v>277</v>
      </c>
      <c r="E33" s="5" t="s">
        <v>278</v>
      </c>
      <c r="F33" s="5">
        <v>5</v>
      </c>
      <c r="G33" s="5" t="s">
        <v>345</v>
      </c>
      <c r="H33" s="8" t="s"/>
      <c r="I33" s="8" t="s"/>
      <c r="J33" s="8" t="s"/>
      <c r="K33" s="8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>
        <v>346</v>
      </c>
      <c r="B34" s="5" t="s">
        <v>197</v>
      </c>
      <c r="C34" s="5" t="s">
        <v>198</v>
      </c>
      <c r="D34" s="5" t="s">
        <v>277</v>
      </c>
      <c r="E34" s="5" t="s">
        <v>278</v>
      </c>
      <c r="F34" s="5">
        <v>6</v>
      </c>
      <c r="G34" s="5" t="s">
        <v>347</v>
      </c>
      <c r="H34" s="8" t="s"/>
      <c r="I34" s="8" t="s"/>
      <c r="J34" s="8" t="s"/>
      <c r="K34" s="8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>
        <v>348</v>
      </c>
      <c r="B35" s="5" t="s">
        <v>197</v>
      </c>
      <c r="C35" s="5" t="s">
        <v>198</v>
      </c>
      <c r="D35" s="5" t="s">
        <v>277</v>
      </c>
      <c r="E35" s="5" t="s">
        <v>278</v>
      </c>
      <c r="F35" s="5">
        <v>7</v>
      </c>
      <c r="G35" s="5" t="s">
        <v>349</v>
      </c>
      <c r="H35" s="8" t="s"/>
      <c r="I35" s="8" t="s"/>
      <c r="J35" s="8" t="s"/>
      <c r="K35" s="8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>
        <v>350</v>
      </c>
      <c r="B36" s="5" t="s">
        <v>197</v>
      </c>
      <c r="C36" s="5" t="s">
        <v>198</v>
      </c>
      <c r="D36" s="5" t="s">
        <v>277</v>
      </c>
      <c r="E36" s="5" t="s">
        <v>278</v>
      </c>
      <c r="F36" s="5">
        <v>8</v>
      </c>
      <c r="G36" s="5" t="s">
        <v>351</v>
      </c>
      <c r="H36" s="8" t="s"/>
      <c r="I36" s="8" t="s"/>
      <c r="J36" s="8" t="s"/>
      <c r="K36" s="8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>
        <v>352</v>
      </c>
      <c r="B37" s="5" t="s">
        <v>197</v>
      </c>
      <c r="C37" s="5" t="s">
        <v>198</v>
      </c>
      <c r="D37" s="5" t="s">
        <v>277</v>
      </c>
      <c r="E37" s="5" t="s">
        <v>278</v>
      </c>
      <c r="F37" s="5">
        <v>9</v>
      </c>
      <c r="G37" s="5" t="s">
        <v>353</v>
      </c>
      <c r="H37" s="8" t="s"/>
      <c r="I37" s="8" t="s"/>
      <c r="J37" s="8" t="s"/>
      <c r="K37" s="8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>
        <v>354</v>
      </c>
      <c r="B38" s="5" t="s">
        <v>197</v>
      </c>
      <c r="C38" s="5" t="s">
        <v>198</v>
      </c>
      <c r="D38" s="5" t="s">
        <v>297</v>
      </c>
      <c r="E38" s="5" t="s">
        <v>298</v>
      </c>
      <c r="F38" s="5">
        <v>1</v>
      </c>
      <c r="G38" s="5" t="s">
        <v>355</v>
      </c>
      <c r="H38" s="8" t="s"/>
      <c r="I38" s="8" t="s"/>
      <c r="J38" s="8" t="s"/>
      <c r="K38" s="8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>
        <v>356</v>
      </c>
      <c r="B39" s="5" t="s">
        <v>197</v>
      </c>
      <c r="C39" s="5" t="s">
        <v>198</v>
      </c>
      <c r="D39" s="5" t="s">
        <v>297</v>
      </c>
      <c r="E39" s="5" t="s">
        <v>298</v>
      </c>
      <c r="F39" s="5">
        <v>2</v>
      </c>
      <c r="G39" s="5" t="s">
        <v>357</v>
      </c>
      <c r="H39" s="8" t="s"/>
      <c r="I39" s="8" t="s"/>
      <c r="J39" s="8" t="s"/>
      <c r="K39" s="8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>
        <v>358</v>
      </c>
      <c r="B40" s="5" t="s">
        <v>197</v>
      </c>
      <c r="C40" s="5" t="s">
        <v>198</v>
      </c>
      <c r="D40" s="5" t="s">
        <v>297</v>
      </c>
      <c r="E40" s="5" t="s">
        <v>298</v>
      </c>
      <c r="F40" s="5">
        <v>3</v>
      </c>
      <c r="G40" s="5" t="s">
        <v>359</v>
      </c>
      <c r="H40" s="8" t="s"/>
      <c r="I40" s="8" t="s"/>
      <c r="J40" s="8" t="s"/>
      <c r="K40" s="8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>
        <v>360</v>
      </c>
      <c r="B41" s="5" t="s">
        <v>197</v>
      </c>
      <c r="C41" s="5" t="s">
        <v>198</v>
      </c>
      <c r="D41" s="5" t="s">
        <v>297</v>
      </c>
      <c r="E41" s="5" t="s">
        <v>298</v>
      </c>
      <c r="F41" s="5">
        <v>4</v>
      </c>
      <c r="G41" s="5" t="s">
        <v>361</v>
      </c>
      <c r="H41" s="8" t="s"/>
      <c r="I41" s="8" t="s"/>
      <c r="J41" s="8" t="s"/>
      <c r="K41" s="8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>
        <v>362</v>
      </c>
      <c r="B42" s="5" t="s">
        <v>197</v>
      </c>
      <c r="C42" s="5" t="s">
        <v>198</v>
      </c>
      <c r="D42" s="5" t="s">
        <v>297</v>
      </c>
      <c r="E42" s="5" t="s">
        <v>298</v>
      </c>
      <c r="F42" s="5">
        <v>5</v>
      </c>
      <c r="G42" s="5" t="s">
        <v>363</v>
      </c>
      <c r="H42" s="8" t="s"/>
      <c r="I42" s="8" t="s"/>
      <c r="J42" s="8" t="s"/>
      <c r="K42" s="8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>
        <v>364</v>
      </c>
      <c r="B43" s="5" t="s">
        <v>197</v>
      </c>
      <c r="C43" s="5" t="s">
        <v>198</v>
      </c>
      <c r="D43" s="5" t="s">
        <v>297</v>
      </c>
      <c r="E43" s="5" t="s">
        <v>298</v>
      </c>
      <c r="F43" s="5">
        <v>6</v>
      </c>
      <c r="G43" s="5" t="s">
        <v>365</v>
      </c>
      <c r="H43" s="8" t="s"/>
      <c r="I43" s="8" t="s"/>
      <c r="J43" s="8" t="s"/>
      <c r="K43" s="8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>
        <v>366</v>
      </c>
      <c r="B44" s="5" t="s">
        <v>197</v>
      </c>
      <c r="C44" s="5" t="s">
        <v>198</v>
      </c>
      <c r="D44" s="5" t="s">
        <v>297</v>
      </c>
      <c r="E44" s="5" t="s">
        <v>298</v>
      </c>
      <c r="F44" s="5">
        <v>7</v>
      </c>
      <c r="G44" s="5" t="s">
        <v>367</v>
      </c>
      <c r="H44" s="8" t="s"/>
      <c r="I44" s="8" t="s"/>
      <c r="J44" s="8" t="s"/>
      <c r="K44" s="8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>
        <v>368</v>
      </c>
      <c r="B45" s="5" t="s">
        <v>197</v>
      </c>
      <c r="C45" s="5" t="s">
        <v>198</v>
      </c>
      <c r="D45" s="5" t="s">
        <v>297</v>
      </c>
      <c r="E45" s="5" t="s">
        <v>298</v>
      </c>
      <c r="F45" s="5">
        <v>8</v>
      </c>
      <c r="G45" s="5" t="s">
        <v>369</v>
      </c>
      <c r="H45" s="8" t="s"/>
      <c r="I45" s="8" t="s"/>
      <c r="J45" s="8" t="s"/>
      <c r="K45" s="8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>
        <v>370</v>
      </c>
      <c r="B46" s="5" t="s">
        <v>197</v>
      </c>
      <c r="C46" s="5" t="s">
        <v>198</v>
      </c>
      <c r="D46" s="5" t="s">
        <v>297</v>
      </c>
      <c r="E46" s="5" t="s">
        <v>298</v>
      </c>
      <c r="F46" s="5">
        <v>9</v>
      </c>
      <c r="G46" s="5" t="s">
        <v>371</v>
      </c>
      <c r="H46" s="8" t="s"/>
      <c r="I46" s="8" t="s"/>
      <c r="J46" s="8" t="s"/>
      <c r="K46" s="8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>
        <v>372</v>
      </c>
      <c r="B47" s="5" t="s">
        <v>197</v>
      </c>
      <c r="C47" s="5" t="s">
        <v>198</v>
      </c>
      <c r="D47" s="5" t="s">
        <v>317</v>
      </c>
      <c r="E47" s="5" t="s">
        <v>318</v>
      </c>
      <c r="F47" s="5">
        <v>1</v>
      </c>
      <c r="G47" s="5" t="s">
        <v>373</v>
      </c>
      <c r="H47" s="8" t="s"/>
      <c r="I47" s="8" t="s"/>
      <c r="J47" s="8" t="s"/>
      <c r="K47" s="8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>
        <v>374</v>
      </c>
      <c r="B48" s="5" t="s">
        <v>197</v>
      </c>
      <c r="C48" s="5" t="s">
        <v>198</v>
      </c>
      <c r="D48" s="5" t="s">
        <v>317</v>
      </c>
      <c r="E48" s="5" t="s">
        <v>318</v>
      </c>
      <c r="F48" s="5">
        <v>2</v>
      </c>
      <c r="G48" s="5" t="s">
        <v>375</v>
      </c>
      <c r="H48" s="8" t="s"/>
      <c r="I48" s="8" t="s"/>
      <c r="J48" s="8" t="s"/>
      <c r="K48" s="8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>
        <v>376</v>
      </c>
      <c r="B49" s="5" t="s">
        <v>197</v>
      </c>
      <c r="C49" s="5" t="s">
        <v>198</v>
      </c>
      <c r="D49" s="5" t="s">
        <v>317</v>
      </c>
      <c r="E49" s="5" t="s">
        <v>318</v>
      </c>
      <c r="F49" s="5">
        <v>3</v>
      </c>
      <c r="G49" s="5" t="s">
        <v>377</v>
      </c>
      <c r="H49" s="8" t="s"/>
      <c r="I49" s="8" t="s"/>
      <c r="J49" s="8" t="s"/>
      <c r="K49" s="8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>
        <v>378</v>
      </c>
      <c r="B50" s="5" t="s">
        <v>197</v>
      </c>
      <c r="C50" s="5" t="s">
        <v>198</v>
      </c>
      <c r="D50" s="5" t="s">
        <v>317</v>
      </c>
      <c r="E50" s="5" t="s">
        <v>318</v>
      </c>
      <c r="F50" s="5">
        <v>4</v>
      </c>
      <c r="G50" s="5" t="s">
        <v>379</v>
      </c>
      <c r="H50" s="8" t="s"/>
      <c r="I50" s="8" t="s"/>
      <c r="J50" s="8" t="s"/>
      <c r="K50" s="8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>
        <v>380</v>
      </c>
      <c r="B51" s="5" t="s">
        <v>197</v>
      </c>
      <c r="C51" s="5" t="s">
        <v>198</v>
      </c>
      <c r="D51" s="5" t="s">
        <v>317</v>
      </c>
      <c r="E51" s="5" t="s">
        <v>318</v>
      </c>
      <c r="F51" s="5">
        <v>5</v>
      </c>
      <c r="G51" s="5" t="s">
        <v>381</v>
      </c>
      <c r="H51" s="8" t="s"/>
      <c r="I51" s="8" t="s"/>
      <c r="J51" s="8" t="s"/>
      <c r="K51" s="8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>
        <v>382</v>
      </c>
      <c r="B52" s="5" t="s">
        <v>197</v>
      </c>
      <c r="C52" s="5" t="s">
        <v>198</v>
      </c>
      <c r="D52" s="5" t="s">
        <v>317</v>
      </c>
      <c r="E52" s="5" t="s">
        <v>318</v>
      </c>
      <c r="F52" s="5">
        <v>6</v>
      </c>
      <c r="G52" s="5" t="s">
        <v>383</v>
      </c>
      <c r="H52" s="8" t="s"/>
      <c r="I52" s="8" t="s"/>
      <c r="J52" s="8" t="s"/>
      <c r="K52" s="8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>
        <v>384</v>
      </c>
      <c r="B53" s="5" t="s">
        <v>197</v>
      </c>
      <c r="C53" s="5" t="s">
        <v>198</v>
      </c>
      <c r="D53" s="5" t="s">
        <v>317</v>
      </c>
      <c r="E53" s="5" t="s">
        <v>318</v>
      </c>
      <c r="F53" s="5">
        <v>7</v>
      </c>
      <c r="G53" s="5" t="s">
        <v>385</v>
      </c>
      <c r="H53" s="8" t="s"/>
      <c r="I53" s="8" t="s"/>
      <c r="J53" s="8" t="s"/>
      <c r="K53" s="8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>
        <v>386</v>
      </c>
      <c r="B54" s="5" t="s">
        <v>197</v>
      </c>
      <c r="C54" s="5" t="s">
        <v>198</v>
      </c>
      <c r="D54" s="5" t="s">
        <v>317</v>
      </c>
      <c r="E54" s="5" t="s">
        <v>318</v>
      </c>
      <c r="F54" s="5">
        <v>8</v>
      </c>
      <c r="G54" s="5" t="s">
        <v>387</v>
      </c>
      <c r="H54" s="8" t="s"/>
      <c r="I54" s="8" t="s"/>
      <c r="J54" s="8" t="s"/>
      <c r="K54" s="8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>
        <v>388</v>
      </c>
      <c r="B55" s="5" t="s">
        <v>197</v>
      </c>
      <c r="C55" s="5" t="s">
        <v>198</v>
      </c>
      <c r="D55" s="5" t="s">
        <v>317</v>
      </c>
      <c r="E55" s="5" t="s">
        <v>318</v>
      </c>
      <c r="F55" s="5">
        <v>9</v>
      </c>
      <c r="G55" s="5" t="s">
        <v>389</v>
      </c>
      <c r="H55" s="8" t="s"/>
      <c r="I55" s="8" t="s"/>
      <c r="J55" s="8" t="s"/>
      <c r="K55" s="8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>
        <v>390</v>
      </c>
      <c r="B56" s="5" t="s">
        <v>200</v>
      </c>
      <c r="C56" s="5" t="s">
        <v>201</v>
      </c>
      <c r="D56" s="5" t="s">
        <v>277</v>
      </c>
      <c r="E56" s="5" t="s">
        <v>278</v>
      </c>
      <c r="F56" s="5">
        <v>1</v>
      </c>
      <c r="G56" s="5" t="s">
        <v>391</v>
      </c>
      <c r="H56" s="8" t="s"/>
      <c r="I56" s="8" t="s"/>
      <c r="J56" s="8" t="s"/>
      <c r="K56" s="8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>
        <v>392</v>
      </c>
      <c r="B57" s="5" t="s">
        <v>200</v>
      </c>
      <c r="C57" s="5" t="s">
        <v>201</v>
      </c>
      <c r="D57" s="5" t="s">
        <v>277</v>
      </c>
      <c r="E57" s="5" t="s">
        <v>278</v>
      </c>
      <c r="F57" s="5">
        <v>2</v>
      </c>
      <c r="G57" s="5" t="s">
        <v>393</v>
      </c>
      <c r="H57" s="8" t="s"/>
      <c r="I57" s="8" t="s"/>
      <c r="J57" s="8" t="s"/>
      <c r="K57" s="8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>
        <v>394</v>
      </c>
      <c r="B58" s="5" t="s">
        <v>200</v>
      </c>
      <c r="C58" s="5" t="s">
        <v>201</v>
      </c>
      <c r="D58" s="5" t="s">
        <v>277</v>
      </c>
      <c r="E58" s="5" t="s">
        <v>278</v>
      </c>
      <c r="F58" s="5">
        <v>3</v>
      </c>
      <c r="G58" s="5" t="s">
        <v>395</v>
      </c>
      <c r="H58" s="8" t="s"/>
      <c r="I58" s="8" t="s"/>
      <c r="J58" s="8" t="s"/>
      <c r="K58" s="8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>
        <v>396</v>
      </c>
      <c r="B59" s="5" t="s">
        <v>200</v>
      </c>
      <c r="C59" s="5" t="s">
        <v>201</v>
      </c>
      <c r="D59" s="5" t="s">
        <v>277</v>
      </c>
      <c r="E59" s="5" t="s">
        <v>278</v>
      </c>
      <c r="F59" s="5">
        <v>4</v>
      </c>
      <c r="G59" s="5" t="s">
        <v>397</v>
      </c>
      <c r="H59" s="8" t="s"/>
      <c r="I59" s="8" t="s"/>
      <c r="J59" s="8" t="s"/>
      <c r="K59" s="8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>
        <v>398</v>
      </c>
      <c r="B60" s="5" t="s">
        <v>200</v>
      </c>
      <c r="C60" s="5" t="s">
        <v>201</v>
      </c>
      <c r="D60" s="5" t="s">
        <v>277</v>
      </c>
      <c r="E60" s="5" t="s">
        <v>278</v>
      </c>
      <c r="F60" s="5">
        <v>5</v>
      </c>
      <c r="G60" s="5" t="s">
        <v>399</v>
      </c>
      <c r="H60" s="8" t="s"/>
      <c r="I60" s="8" t="s"/>
      <c r="J60" s="8" t="s"/>
      <c r="K60" s="8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>
        <v>400</v>
      </c>
      <c r="B61" s="5" t="s">
        <v>200</v>
      </c>
      <c r="C61" s="5" t="s">
        <v>201</v>
      </c>
      <c r="D61" s="5" t="s">
        <v>277</v>
      </c>
      <c r="E61" s="5" t="s">
        <v>278</v>
      </c>
      <c r="F61" s="5">
        <v>6</v>
      </c>
      <c r="G61" s="5" t="s">
        <v>401</v>
      </c>
      <c r="H61" s="8" t="s"/>
      <c r="I61" s="8" t="s"/>
      <c r="J61" s="8" t="s"/>
      <c r="K61" s="8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>
        <v>402</v>
      </c>
      <c r="B62" s="5" t="s">
        <v>200</v>
      </c>
      <c r="C62" s="5" t="s">
        <v>201</v>
      </c>
      <c r="D62" s="5" t="s">
        <v>277</v>
      </c>
      <c r="E62" s="5" t="s">
        <v>278</v>
      </c>
      <c r="F62" s="5">
        <v>7</v>
      </c>
      <c r="G62" s="5" t="s">
        <v>403</v>
      </c>
      <c r="H62" s="8" t="s"/>
      <c r="I62" s="8" t="s"/>
      <c r="J62" s="8" t="s"/>
      <c r="K62" s="8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>
        <v>404</v>
      </c>
      <c r="B63" s="5" t="s">
        <v>200</v>
      </c>
      <c r="C63" s="5" t="s">
        <v>201</v>
      </c>
      <c r="D63" s="5" t="s">
        <v>277</v>
      </c>
      <c r="E63" s="5" t="s">
        <v>278</v>
      </c>
      <c r="F63" s="5">
        <v>8</v>
      </c>
      <c r="G63" s="5" t="s">
        <v>405</v>
      </c>
      <c r="H63" s="8" t="s"/>
      <c r="I63" s="8" t="s"/>
      <c r="J63" s="8" t="s"/>
      <c r="K63" s="8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>
        <v>406</v>
      </c>
      <c r="B64" s="5" t="s">
        <v>200</v>
      </c>
      <c r="C64" s="5" t="s">
        <v>201</v>
      </c>
      <c r="D64" s="5" t="s">
        <v>277</v>
      </c>
      <c r="E64" s="5" t="s">
        <v>278</v>
      </c>
      <c r="F64" s="5">
        <v>9</v>
      </c>
      <c r="G64" s="5" t="s">
        <v>407</v>
      </c>
      <c r="H64" s="8" t="s"/>
      <c r="I64" s="8" t="s"/>
      <c r="J64" s="8" t="s"/>
      <c r="K64" s="8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>
        <v>408</v>
      </c>
      <c r="B65" s="5" t="s">
        <v>200</v>
      </c>
      <c r="C65" s="5" t="s">
        <v>201</v>
      </c>
      <c r="D65" s="5" t="s">
        <v>297</v>
      </c>
      <c r="E65" s="5" t="s">
        <v>298</v>
      </c>
      <c r="F65" s="5">
        <v>1</v>
      </c>
      <c r="G65" s="5" t="s">
        <v>409</v>
      </c>
      <c r="H65" s="8" t="s"/>
      <c r="I65" s="8" t="s"/>
      <c r="J65" s="8" t="s"/>
      <c r="K65" s="8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>
        <v>410</v>
      </c>
      <c r="B66" s="5" t="s">
        <v>200</v>
      </c>
      <c r="C66" s="5" t="s">
        <v>201</v>
      </c>
      <c r="D66" s="5" t="s">
        <v>297</v>
      </c>
      <c r="E66" s="5" t="s">
        <v>298</v>
      </c>
      <c r="F66" s="5">
        <v>2</v>
      </c>
      <c r="G66" s="5" t="s">
        <v>411</v>
      </c>
      <c r="H66" s="8" t="s"/>
      <c r="I66" s="8" t="s"/>
      <c r="J66" s="8" t="s"/>
      <c r="K66" s="8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>
        <v>412</v>
      </c>
      <c r="B67" s="5" t="s">
        <v>200</v>
      </c>
      <c r="C67" s="5" t="s">
        <v>201</v>
      </c>
      <c r="D67" s="5" t="s">
        <v>297</v>
      </c>
      <c r="E67" s="5" t="s">
        <v>298</v>
      </c>
      <c r="F67" s="5">
        <v>3</v>
      </c>
      <c r="G67" s="5" t="s">
        <v>413</v>
      </c>
      <c r="H67" s="8" t="s"/>
      <c r="I67" s="8" t="s"/>
      <c r="J67" s="8" t="s"/>
      <c r="K67" s="8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>
        <v>414</v>
      </c>
      <c r="B68" s="5" t="s">
        <v>200</v>
      </c>
      <c r="C68" s="5" t="s">
        <v>201</v>
      </c>
      <c r="D68" s="5" t="s">
        <v>297</v>
      </c>
      <c r="E68" s="5" t="s">
        <v>298</v>
      </c>
      <c r="F68" s="5">
        <v>4</v>
      </c>
      <c r="G68" s="5" t="s">
        <v>415</v>
      </c>
      <c r="H68" s="8" t="s"/>
      <c r="I68" s="8" t="s"/>
      <c r="J68" s="8" t="s"/>
      <c r="K68" s="8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>
        <v>416</v>
      </c>
      <c r="B69" s="5" t="s">
        <v>200</v>
      </c>
      <c r="C69" s="5" t="s">
        <v>201</v>
      </c>
      <c r="D69" s="5" t="s">
        <v>297</v>
      </c>
      <c r="E69" s="5" t="s">
        <v>298</v>
      </c>
      <c r="F69" s="5">
        <v>5</v>
      </c>
      <c r="G69" s="5" t="s">
        <v>417</v>
      </c>
      <c r="H69" s="8" t="s"/>
      <c r="I69" s="8" t="s"/>
      <c r="J69" s="8" t="s"/>
      <c r="K69" s="8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>
        <v>418</v>
      </c>
      <c r="B70" s="5" t="s">
        <v>200</v>
      </c>
      <c r="C70" s="5" t="s">
        <v>201</v>
      </c>
      <c r="D70" s="5" t="s">
        <v>297</v>
      </c>
      <c r="E70" s="5" t="s">
        <v>298</v>
      </c>
      <c r="F70" s="5">
        <v>6</v>
      </c>
      <c r="G70" s="5" t="s">
        <v>419</v>
      </c>
      <c r="H70" s="8" t="s"/>
      <c r="I70" s="8" t="s"/>
      <c r="J70" s="8" t="s"/>
      <c r="K70" s="8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>
        <v>420</v>
      </c>
      <c r="B71" s="5" t="s">
        <v>200</v>
      </c>
      <c r="C71" s="5" t="s">
        <v>201</v>
      </c>
      <c r="D71" s="5" t="s">
        <v>297</v>
      </c>
      <c r="E71" s="5" t="s">
        <v>298</v>
      </c>
      <c r="F71" s="5">
        <v>7</v>
      </c>
      <c r="G71" s="5" t="s">
        <v>421</v>
      </c>
      <c r="H71" s="8" t="s"/>
      <c r="I71" s="8" t="s"/>
      <c r="J71" s="8" t="s"/>
      <c r="K71" s="8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>
        <v>422</v>
      </c>
      <c r="B72" s="5" t="s">
        <v>200</v>
      </c>
      <c r="C72" s="5" t="s">
        <v>201</v>
      </c>
      <c r="D72" s="5" t="s">
        <v>297</v>
      </c>
      <c r="E72" s="5" t="s">
        <v>298</v>
      </c>
      <c r="F72" s="5">
        <v>8</v>
      </c>
      <c r="G72" s="5" t="s">
        <v>423</v>
      </c>
      <c r="H72" s="8" t="s"/>
      <c r="I72" s="8" t="s"/>
      <c r="J72" s="8" t="s"/>
      <c r="K72" s="8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>
        <v>424</v>
      </c>
      <c r="B73" s="5" t="s">
        <v>200</v>
      </c>
      <c r="C73" s="5" t="s">
        <v>201</v>
      </c>
      <c r="D73" s="5" t="s">
        <v>297</v>
      </c>
      <c r="E73" s="5" t="s">
        <v>298</v>
      </c>
      <c r="F73" s="5">
        <v>9</v>
      </c>
      <c r="G73" s="5" t="s">
        <v>425</v>
      </c>
      <c r="H73" s="8" t="s"/>
      <c r="I73" s="8" t="s"/>
      <c r="J73" s="8" t="s"/>
      <c r="K73" s="8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>
        <v>426</v>
      </c>
      <c r="B74" s="5" t="s">
        <v>200</v>
      </c>
      <c r="C74" s="5" t="s">
        <v>201</v>
      </c>
      <c r="D74" s="5" t="s">
        <v>317</v>
      </c>
      <c r="E74" s="5" t="s">
        <v>318</v>
      </c>
      <c r="F74" s="5">
        <v>1</v>
      </c>
      <c r="G74" s="5" t="s">
        <v>427</v>
      </c>
      <c r="H74" s="8" t="s"/>
      <c r="I74" s="8" t="s"/>
      <c r="J74" s="8" t="s"/>
      <c r="K74" s="8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>
        <v>428</v>
      </c>
      <c r="B75" s="5" t="s">
        <v>200</v>
      </c>
      <c r="C75" s="5" t="s">
        <v>201</v>
      </c>
      <c r="D75" s="5" t="s">
        <v>317</v>
      </c>
      <c r="E75" s="5" t="s">
        <v>318</v>
      </c>
      <c r="F75" s="5">
        <v>2</v>
      </c>
      <c r="G75" s="5" t="s">
        <v>429</v>
      </c>
      <c r="H75" s="8" t="s"/>
      <c r="I75" s="8" t="s"/>
      <c r="J75" s="8" t="s"/>
      <c r="K75" s="8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>
        <v>430</v>
      </c>
      <c r="B76" s="5" t="s">
        <v>200</v>
      </c>
      <c r="C76" s="5" t="s">
        <v>201</v>
      </c>
      <c r="D76" s="5" t="s">
        <v>317</v>
      </c>
      <c r="E76" s="5" t="s">
        <v>318</v>
      </c>
      <c r="F76" s="5">
        <v>3</v>
      </c>
      <c r="G76" s="5" t="s">
        <v>431</v>
      </c>
      <c r="H76" s="8" t="s"/>
      <c r="I76" s="8" t="s"/>
      <c r="J76" s="8" t="s"/>
      <c r="K76" s="8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>
        <v>432</v>
      </c>
      <c r="B77" s="5" t="s">
        <v>200</v>
      </c>
      <c r="C77" s="5" t="s">
        <v>201</v>
      </c>
      <c r="D77" s="5" t="s">
        <v>317</v>
      </c>
      <c r="E77" s="5" t="s">
        <v>318</v>
      </c>
      <c r="F77" s="5">
        <v>4</v>
      </c>
      <c r="G77" s="5" t="s">
        <v>433</v>
      </c>
      <c r="H77" s="8" t="s"/>
      <c r="I77" s="8" t="s"/>
      <c r="J77" s="8" t="s"/>
      <c r="K77" s="8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>
        <v>434</v>
      </c>
      <c r="B78" s="5" t="s">
        <v>200</v>
      </c>
      <c r="C78" s="5" t="s">
        <v>201</v>
      </c>
      <c r="D78" s="5" t="s">
        <v>317</v>
      </c>
      <c r="E78" s="5" t="s">
        <v>318</v>
      </c>
      <c r="F78" s="5">
        <v>5</v>
      </c>
      <c r="G78" s="5" t="s">
        <v>435</v>
      </c>
      <c r="H78" s="8" t="s"/>
      <c r="I78" s="8" t="s"/>
      <c r="J78" s="8" t="s"/>
      <c r="K78" s="8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>
        <v>436</v>
      </c>
      <c r="B79" s="5" t="s">
        <v>200</v>
      </c>
      <c r="C79" s="5" t="s">
        <v>201</v>
      </c>
      <c r="D79" s="5" t="s">
        <v>317</v>
      </c>
      <c r="E79" s="5" t="s">
        <v>318</v>
      </c>
      <c r="F79" s="5">
        <v>6</v>
      </c>
      <c r="G79" s="5" t="s">
        <v>437</v>
      </c>
      <c r="H79" s="8" t="s"/>
      <c r="I79" s="8" t="s"/>
      <c r="J79" s="8" t="s"/>
      <c r="K79" s="8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>
        <v>438</v>
      </c>
      <c r="B80" s="5" t="s">
        <v>200</v>
      </c>
      <c r="C80" s="5" t="s">
        <v>201</v>
      </c>
      <c r="D80" s="5" t="s">
        <v>317</v>
      </c>
      <c r="E80" s="5" t="s">
        <v>318</v>
      </c>
      <c r="F80" s="5">
        <v>7</v>
      </c>
      <c r="G80" s="5" t="s">
        <v>439</v>
      </c>
      <c r="H80" s="8" t="s"/>
      <c r="I80" s="8" t="s"/>
      <c r="J80" s="8" t="s"/>
      <c r="K80" s="8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>
        <v>440</v>
      </c>
      <c r="B81" s="5" t="s">
        <v>200</v>
      </c>
      <c r="C81" s="5" t="s">
        <v>201</v>
      </c>
      <c r="D81" s="5" t="s">
        <v>317</v>
      </c>
      <c r="E81" s="5" t="s">
        <v>318</v>
      </c>
      <c r="F81" s="5">
        <v>8</v>
      </c>
      <c r="G81" s="5" t="s">
        <v>441</v>
      </c>
      <c r="H81" s="8" t="s"/>
      <c r="I81" s="8" t="s"/>
      <c r="J81" s="8" t="s"/>
      <c r="K81" s="8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>
        <v>442</v>
      </c>
      <c r="B82" s="5" t="s">
        <v>200</v>
      </c>
      <c r="C82" s="5" t="s">
        <v>201</v>
      </c>
      <c r="D82" s="5" t="s">
        <v>317</v>
      </c>
      <c r="E82" s="5" t="s">
        <v>318</v>
      </c>
      <c r="F82" s="5">
        <v>9</v>
      </c>
      <c r="G82" s="5" t="s">
        <v>443</v>
      </c>
      <c r="H82" s="8" t="s"/>
      <c r="I82" s="8" t="s"/>
      <c r="J82" s="8" t="s"/>
      <c r="K82" s="8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>
        <v>444</v>
      </c>
      <c r="B83" s="5" t="s">
        <v>203</v>
      </c>
      <c r="C83" s="5" t="s">
        <v>204</v>
      </c>
      <c r="D83" s="5" t="s">
        <v>277</v>
      </c>
      <c r="E83" s="5" t="s">
        <v>278</v>
      </c>
      <c r="F83" s="5">
        <v>1</v>
      </c>
      <c r="G83" s="5" t="s">
        <v>445</v>
      </c>
      <c r="H83" s="8" t="s"/>
      <c r="I83" s="8" t="s"/>
      <c r="J83" s="8" t="s"/>
      <c r="K83" s="8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>
        <v>446</v>
      </c>
      <c r="B84" s="5" t="s">
        <v>203</v>
      </c>
      <c r="C84" s="5" t="s">
        <v>204</v>
      </c>
      <c r="D84" s="5" t="s">
        <v>277</v>
      </c>
      <c r="E84" s="5" t="s">
        <v>278</v>
      </c>
      <c r="F84" s="5">
        <v>2</v>
      </c>
      <c r="G84" s="5" t="s">
        <v>447</v>
      </c>
      <c r="H84" s="8" t="s"/>
      <c r="I84" s="8" t="s"/>
      <c r="J84" s="8" t="s"/>
      <c r="K84" s="8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>
        <v>448</v>
      </c>
      <c r="B85" s="5" t="s">
        <v>203</v>
      </c>
      <c r="C85" s="5" t="s">
        <v>204</v>
      </c>
      <c r="D85" s="5" t="s">
        <v>277</v>
      </c>
      <c r="E85" s="5" t="s">
        <v>278</v>
      </c>
      <c r="F85" s="5">
        <v>3</v>
      </c>
      <c r="G85" s="5" t="s">
        <v>449</v>
      </c>
      <c r="H85" s="8" t="s"/>
      <c r="I85" s="8" t="s"/>
      <c r="J85" s="8" t="s"/>
      <c r="K85" s="8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>
        <v>450</v>
      </c>
      <c r="B86" s="5" t="s">
        <v>203</v>
      </c>
      <c r="C86" s="5" t="s">
        <v>204</v>
      </c>
      <c r="D86" s="5" t="s">
        <v>277</v>
      </c>
      <c r="E86" s="5" t="s">
        <v>278</v>
      </c>
      <c r="F86" s="5">
        <v>4</v>
      </c>
      <c r="G86" s="5" t="s">
        <v>451</v>
      </c>
      <c r="H86" s="8" t="s"/>
      <c r="I86" s="8" t="s"/>
      <c r="J86" s="8" t="s"/>
      <c r="K86" s="8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>
        <v>452</v>
      </c>
      <c r="B87" s="5" t="s">
        <v>203</v>
      </c>
      <c r="C87" s="5" t="s">
        <v>204</v>
      </c>
      <c r="D87" s="5" t="s">
        <v>277</v>
      </c>
      <c r="E87" s="5" t="s">
        <v>278</v>
      </c>
      <c r="F87" s="5">
        <v>5</v>
      </c>
      <c r="G87" s="5" t="s">
        <v>453</v>
      </c>
      <c r="H87" s="8" t="s"/>
      <c r="I87" s="8" t="s"/>
      <c r="J87" s="8" t="s"/>
      <c r="K87" s="8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>
        <v>454</v>
      </c>
      <c r="B88" s="5" t="s">
        <v>203</v>
      </c>
      <c r="C88" s="5" t="s">
        <v>204</v>
      </c>
      <c r="D88" s="5" t="s">
        <v>277</v>
      </c>
      <c r="E88" s="5" t="s">
        <v>278</v>
      </c>
      <c r="F88" s="5">
        <v>6</v>
      </c>
      <c r="G88" s="5" t="s">
        <v>455</v>
      </c>
      <c r="H88" s="8" t="s"/>
      <c r="I88" s="8" t="s"/>
      <c r="J88" s="8" t="s"/>
      <c r="K88" s="8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>
        <v>456</v>
      </c>
      <c r="B89" s="5" t="s">
        <v>203</v>
      </c>
      <c r="C89" s="5" t="s">
        <v>204</v>
      </c>
      <c r="D89" s="5" t="s">
        <v>277</v>
      </c>
      <c r="E89" s="5" t="s">
        <v>278</v>
      </c>
      <c r="F89" s="5">
        <v>7</v>
      </c>
      <c r="G89" s="5" t="s">
        <v>457</v>
      </c>
      <c r="H89" s="8" t="s"/>
      <c r="I89" s="8" t="s"/>
      <c r="J89" s="8" t="s"/>
      <c r="K89" s="8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>
        <v>458</v>
      </c>
      <c r="B90" s="5" t="s">
        <v>203</v>
      </c>
      <c r="C90" s="5" t="s">
        <v>204</v>
      </c>
      <c r="D90" s="5" t="s">
        <v>277</v>
      </c>
      <c r="E90" s="5" t="s">
        <v>278</v>
      </c>
      <c r="F90" s="5">
        <v>8</v>
      </c>
      <c r="G90" s="5" t="s">
        <v>459</v>
      </c>
      <c r="H90" s="8" t="s"/>
      <c r="I90" s="8" t="s"/>
      <c r="J90" s="8" t="s"/>
      <c r="K90" s="8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>
        <v>460</v>
      </c>
      <c r="B91" s="5" t="s">
        <v>203</v>
      </c>
      <c r="C91" s="5" t="s">
        <v>204</v>
      </c>
      <c r="D91" s="5" t="s">
        <v>277</v>
      </c>
      <c r="E91" s="5" t="s">
        <v>278</v>
      </c>
      <c r="F91" s="5">
        <v>9</v>
      </c>
      <c r="G91" s="5" t="s">
        <v>461</v>
      </c>
      <c r="H91" s="8" t="s"/>
      <c r="I91" s="8" t="s"/>
      <c r="J91" s="8" t="s"/>
      <c r="K91" s="8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>
        <v>462</v>
      </c>
      <c r="B92" s="5" t="s">
        <v>203</v>
      </c>
      <c r="C92" s="5" t="s">
        <v>204</v>
      </c>
      <c r="D92" s="5" t="s">
        <v>297</v>
      </c>
      <c r="E92" s="5" t="s">
        <v>298</v>
      </c>
      <c r="F92" s="5">
        <v>1</v>
      </c>
      <c r="G92" s="5" t="s">
        <v>463</v>
      </c>
      <c r="H92" s="8" t="s"/>
      <c r="I92" s="8" t="s"/>
      <c r="J92" s="8" t="s"/>
      <c r="K92" s="8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>
        <v>464</v>
      </c>
      <c r="B93" s="5" t="s">
        <v>203</v>
      </c>
      <c r="C93" s="5" t="s">
        <v>204</v>
      </c>
      <c r="D93" s="5" t="s">
        <v>297</v>
      </c>
      <c r="E93" s="5" t="s">
        <v>298</v>
      </c>
      <c r="F93" s="5">
        <v>2</v>
      </c>
      <c r="G93" s="5" t="s">
        <v>465</v>
      </c>
      <c r="H93" s="8" t="s"/>
      <c r="I93" s="8" t="s"/>
      <c r="J93" s="8" t="s"/>
      <c r="K93" s="8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>
        <v>466</v>
      </c>
      <c r="B94" s="5" t="s">
        <v>203</v>
      </c>
      <c r="C94" s="5" t="s">
        <v>204</v>
      </c>
      <c r="D94" s="5" t="s">
        <v>297</v>
      </c>
      <c r="E94" s="5" t="s">
        <v>298</v>
      </c>
      <c r="F94" s="5">
        <v>3</v>
      </c>
      <c r="G94" s="5" t="s">
        <v>467</v>
      </c>
      <c r="H94" s="8" t="s"/>
      <c r="I94" s="8" t="s"/>
      <c r="J94" s="8" t="s"/>
      <c r="K94" s="8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>
        <v>468</v>
      </c>
      <c r="B95" s="5" t="s">
        <v>203</v>
      </c>
      <c r="C95" s="5" t="s">
        <v>204</v>
      </c>
      <c r="D95" s="5" t="s">
        <v>297</v>
      </c>
      <c r="E95" s="5" t="s">
        <v>298</v>
      </c>
      <c r="F95" s="5">
        <v>4</v>
      </c>
      <c r="G95" s="5" t="s">
        <v>469</v>
      </c>
      <c r="H95" s="8" t="s"/>
      <c r="I95" s="8" t="s"/>
      <c r="J95" s="8" t="s"/>
      <c r="K95" s="8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>
        <v>470</v>
      </c>
      <c r="B96" s="5" t="s">
        <v>203</v>
      </c>
      <c r="C96" s="5" t="s">
        <v>204</v>
      </c>
      <c r="D96" s="5" t="s">
        <v>297</v>
      </c>
      <c r="E96" s="5" t="s">
        <v>298</v>
      </c>
      <c r="F96" s="5">
        <v>5</v>
      </c>
      <c r="G96" s="5" t="s">
        <v>471</v>
      </c>
      <c r="H96" s="8" t="s"/>
      <c r="I96" s="8" t="s"/>
      <c r="J96" s="8" t="s"/>
      <c r="K96" s="8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>
        <v>472</v>
      </c>
      <c r="B97" s="5" t="s">
        <v>203</v>
      </c>
      <c r="C97" s="5" t="s">
        <v>204</v>
      </c>
      <c r="D97" s="5" t="s">
        <v>297</v>
      </c>
      <c r="E97" s="5" t="s">
        <v>298</v>
      </c>
      <c r="F97" s="5">
        <v>6</v>
      </c>
      <c r="G97" s="5" t="s">
        <v>473</v>
      </c>
      <c r="H97" s="8" t="s"/>
      <c r="I97" s="8" t="s"/>
      <c r="J97" s="8" t="s"/>
      <c r="K97" s="8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>
        <v>474</v>
      </c>
      <c r="B98" s="5" t="s">
        <v>203</v>
      </c>
      <c r="C98" s="5" t="s">
        <v>204</v>
      </c>
      <c r="D98" s="5" t="s">
        <v>297</v>
      </c>
      <c r="E98" s="5" t="s">
        <v>298</v>
      </c>
      <c r="F98" s="5">
        <v>7</v>
      </c>
      <c r="G98" s="5" t="s">
        <v>475</v>
      </c>
      <c r="H98" s="8" t="s"/>
      <c r="I98" s="8" t="s"/>
      <c r="J98" s="8" t="s"/>
      <c r="K98" s="8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>
        <v>476</v>
      </c>
      <c r="B99" s="5" t="s">
        <v>203</v>
      </c>
      <c r="C99" s="5" t="s">
        <v>204</v>
      </c>
      <c r="D99" s="5" t="s">
        <v>297</v>
      </c>
      <c r="E99" s="5" t="s">
        <v>298</v>
      </c>
      <c r="F99" s="5">
        <v>8</v>
      </c>
      <c r="G99" s="5" t="s">
        <v>477</v>
      </c>
      <c r="H99" s="8" t="s"/>
      <c r="I99" s="8" t="s"/>
      <c r="J99" s="8" t="s"/>
      <c r="K99" s="8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>
        <v>478</v>
      </c>
      <c r="B100" s="5" t="s">
        <v>203</v>
      </c>
      <c r="C100" s="5" t="s">
        <v>204</v>
      </c>
      <c r="D100" s="5" t="s">
        <v>297</v>
      </c>
      <c r="E100" s="5" t="s">
        <v>298</v>
      </c>
      <c r="F100" s="5">
        <v>9</v>
      </c>
      <c r="G100" s="5" t="s">
        <v>479</v>
      </c>
      <c r="H100" s="8" t="s"/>
      <c r="I100" s="8" t="s"/>
      <c r="J100" s="8" t="s"/>
      <c r="K100" s="8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>
        <v>480</v>
      </c>
      <c r="B101" s="5" t="s">
        <v>203</v>
      </c>
      <c r="C101" s="5" t="s">
        <v>204</v>
      </c>
      <c r="D101" s="5" t="s">
        <v>317</v>
      </c>
      <c r="E101" s="5" t="s">
        <v>318</v>
      </c>
      <c r="F101" s="5">
        <v>1</v>
      </c>
      <c r="G101" s="5" t="s">
        <v>481</v>
      </c>
      <c r="H101" s="8" t="s"/>
      <c r="I101" s="8" t="s"/>
      <c r="J101" s="8" t="s"/>
      <c r="K101" s="8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>
        <v>482</v>
      </c>
      <c r="B102" s="5" t="s">
        <v>203</v>
      </c>
      <c r="C102" s="5" t="s">
        <v>204</v>
      </c>
      <c r="D102" s="5" t="s">
        <v>317</v>
      </c>
      <c r="E102" s="5" t="s">
        <v>318</v>
      </c>
      <c r="F102" s="5">
        <v>2</v>
      </c>
      <c r="G102" s="5" t="s">
        <v>483</v>
      </c>
      <c r="H102" s="8" t="s"/>
      <c r="I102" s="8" t="s"/>
      <c r="J102" s="8" t="s"/>
      <c r="K102" s="8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>
        <v>484</v>
      </c>
      <c r="B103" s="5" t="s">
        <v>203</v>
      </c>
      <c r="C103" s="5" t="s">
        <v>204</v>
      </c>
      <c r="D103" s="5" t="s">
        <v>317</v>
      </c>
      <c r="E103" s="5" t="s">
        <v>318</v>
      </c>
      <c r="F103" s="5">
        <v>3</v>
      </c>
      <c r="G103" s="5" t="s">
        <v>485</v>
      </c>
      <c r="H103" s="8" t="s"/>
      <c r="I103" s="8" t="s"/>
      <c r="J103" s="8" t="s"/>
      <c r="K103" s="8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>
        <v>486</v>
      </c>
      <c r="B104" s="5" t="s">
        <v>203</v>
      </c>
      <c r="C104" s="5" t="s">
        <v>204</v>
      </c>
      <c r="D104" s="5" t="s">
        <v>317</v>
      </c>
      <c r="E104" s="5" t="s">
        <v>318</v>
      </c>
      <c r="F104" s="5">
        <v>4</v>
      </c>
      <c r="G104" s="5" t="s">
        <v>487</v>
      </c>
      <c r="H104" s="8" t="s"/>
      <c r="I104" s="8" t="s"/>
      <c r="J104" s="8" t="s"/>
      <c r="K104" s="8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>
        <v>488</v>
      </c>
      <c r="B105" s="5" t="s">
        <v>203</v>
      </c>
      <c r="C105" s="5" t="s">
        <v>204</v>
      </c>
      <c r="D105" s="5" t="s">
        <v>317</v>
      </c>
      <c r="E105" s="5" t="s">
        <v>318</v>
      </c>
      <c r="F105" s="5">
        <v>5</v>
      </c>
      <c r="G105" s="5" t="s">
        <v>489</v>
      </c>
      <c r="H105" s="8" t="s"/>
      <c r="I105" s="8" t="s"/>
      <c r="J105" s="8" t="s"/>
      <c r="K105" s="8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>
        <v>490</v>
      </c>
      <c r="B106" s="5" t="s">
        <v>203</v>
      </c>
      <c r="C106" s="5" t="s">
        <v>204</v>
      </c>
      <c r="D106" s="5" t="s">
        <v>317</v>
      </c>
      <c r="E106" s="5" t="s">
        <v>318</v>
      </c>
      <c r="F106" s="5">
        <v>6</v>
      </c>
      <c r="G106" s="5" t="s">
        <v>491</v>
      </c>
      <c r="H106" s="8" t="s"/>
      <c r="I106" s="8" t="s"/>
      <c r="J106" s="8" t="s"/>
      <c r="K106" s="8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>
        <v>492</v>
      </c>
      <c r="B107" s="5" t="s">
        <v>203</v>
      </c>
      <c r="C107" s="5" t="s">
        <v>204</v>
      </c>
      <c r="D107" s="5" t="s">
        <v>317</v>
      </c>
      <c r="E107" s="5" t="s">
        <v>318</v>
      </c>
      <c r="F107" s="5">
        <v>7</v>
      </c>
      <c r="G107" s="5" t="s">
        <v>493</v>
      </c>
      <c r="H107" s="8" t="s"/>
      <c r="I107" s="8" t="s"/>
      <c r="J107" s="8" t="s"/>
      <c r="K107" s="8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>
        <v>494</v>
      </c>
      <c r="B108" s="5" t="s">
        <v>203</v>
      </c>
      <c r="C108" s="5" t="s">
        <v>204</v>
      </c>
      <c r="D108" s="5" t="s">
        <v>317</v>
      </c>
      <c r="E108" s="5" t="s">
        <v>318</v>
      </c>
      <c r="F108" s="5">
        <v>8</v>
      </c>
      <c r="G108" s="5" t="s">
        <v>495</v>
      </c>
      <c r="H108" s="8" t="s"/>
      <c r="I108" s="8" t="s"/>
      <c r="J108" s="8" t="s"/>
      <c r="K108" s="8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>
        <v>496</v>
      </c>
      <c r="B109" s="5" t="s">
        <v>203</v>
      </c>
      <c r="C109" s="5" t="s">
        <v>204</v>
      </c>
      <c r="D109" s="5" t="s">
        <v>317</v>
      </c>
      <c r="E109" s="5" t="s">
        <v>318</v>
      </c>
      <c r="F109" s="5">
        <v>9</v>
      </c>
      <c r="G109" s="5" t="s">
        <v>497</v>
      </c>
      <c r="H109" s="8" t="s"/>
      <c r="I109" s="8" t="s"/>
      <c r="J109" s="8" t="s"/>
      <c r="K109" s="8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>
        <v>498</v>
      </c>
      <c r="B110" s="5" t="s">
        <v>206</v>
      </c>
      <c r="C110" s="5" t="s">
        <v>207</v>
      </c>
      <c r="D110" s="5" t="s">
        <v>277</v>
      </c>
      <c r="E110" s="5" t="s">
        <v>278</v>
      </c>
      <c r="F110" s="5">
        <v>1</v>
      </c>
      <c r="G110" s="5" t="s">
        <v>499</v>
      </c>
      <c r="H110" s="8" t="s"/>
      <c r="I110" s="8" t="s"/>
      <c r="J110" s="8" t="s"/>
      <c r="K110" s="8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>
        <v>500</v>
      </c>
      <c r="B111" s="5" t="s">
        <v>206</v>
      </c>
      <c r="C111" s="5" t="s">
        <v>207</v>
      </c>
      <c r="D111" s="5" t="s">
        <v>277</v>
      </c>
      <c r="E111" s="5" t="s">
        <v>278</v>
      </c>
      <c r="F111" s="5">
        <v>2</v>
      </c>
      <c r="G111" s="5" t="s">
        <v>501</v>
      </c>
      <c r="H111" s="8" t="s"/>
      <c r="I111" s="8" t="s"/>
      <c r="J111" s="8" t="s"/>
      <c r="K111" s="8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>
        <v>502</v>
      </c>
      <c r="B112" s="5" t="s">
        <v>206</v>
      </c>
      <c r="C112" s="5" t="s">
        <v>207</v>
      </c>
      <c r="D112" s="5" t="s">
        <v>277</v>
      </c>
      <c r="E112" s="5" t="s">
        <v>278</v>
      </c>
      <c r="F112" s="5">
        <v>3</v>
      </c>
      <c r="G112" s="5" t="s">
        <v>503</v>
      </c>
      <c r="H112" s="8" t="s"/>
      <c r="I112" s="8" t="s"/>
      <c r="J112" s="8" t="s"/>
      <c r="K112" s="8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>
        <v>504</v>
      </c>
      <c r="B113" s="5" t="s">
        <v>206</v>
      </c>
      <c r="C113" s="5" t="s">
        <v>207</v>
      </c>
      <c r="D113" s="5" t="s">
        <v>277</v>
      </c>
      <c r="E113" s="5" t="s">
        <v>278</v>
      </c>
      <c r="F113" s="5">
        <v>4</v>
      </c>
      <c r="G113" s="5" t="s">
        <v>505</v>
      </c>
      <c r="H113" s="8" t="s"/>
      <c r="I113" s="8" t="s"/>
      <c r="J113" s="8" t="s"/>
      <c r="K113" s="8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>
        <v>506</v>
      </c>
      <c r="B114" s="5" t="s">
        <v>206</v>
      </c>
      <c r="C114" s="5" t="s">
        <v>207</v>
      </c>
      <c r="D114" s="5" t="s">
        <v>277</v>
      </c>
      <c r="E114" s="5" t="s">
        <v>278</v>
      </c>
      <c r="F114" s="5">
        <v>5</v>
      </c>
      <c r="G114" s="5" t="s">
        <v>507</v>
      </c>
      <c r="H114" s="8" t="s"/>
      <c r="I114" s="8" t="s"/>
      <c r="J114" s="8" t="s"/>
      <c r="K114" s="8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>
        <v>508</v>
      </c>
      <c r="B115" s="5" t="s">
        <v>206</v>
      </c>
      <c r="C115" s="5" t="s">
        <v>207</v>
      </c>
      <c r="D115" s="5" t="s">
        <v>277</v>
      </c>
      <c r="E115" s="5" t="s">
        <v>278</v>
      </c>
      <c r="F115" s="5">
        <v>6</v>
      </c>
      <c r="G115" s="5" t="s">
        <v>509</v>
      </c>
      <c r="H115" s="8" t="s"/>
      <c r="I115" s="8" t="s"/>
      <c r="J115" s="8" t="s"/>
      <c r="K115" s="8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>
        <v>510</v>
      </c>
      <c r="B116" s="5" t="s">
        <v>206</v>
      </c>
      <c r="C116" s="5" t="s">
        <v>207</v>
      </c>
      <c r="D116" s="5" t="s">
        <v>277</v>
      </c>
      <c r="E116" s="5" t="s">
        <v>278</v>
      </c>
      <c r="F116" s="5">
        <v>7</v>
      </c>
      <c r="G116" s="5" t="s">
        <v>511</v>
      </c>
      <c r="H116" s="8" t="s"/>
      <c r="I116" s="8" t="s"/>
      <c r="J116" s="8" t="s"/>
      <c r="K116" s="8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>
        <v>512</v>
      </c>
      <c r="B117" s="5" t="s">
        <v>206</v>
      </c>
      <c r="C117" s="5" t="s">
        <v>207</v>
      </c>
      <c r="D117" s="5" t="s">
        <v>277</v>
      </c>
      <c r="E117" s="5" t="s">
        <v>278</v>
      </c>
      <c r="F117" s="5">
        <v>8</v>
      </c>
      <c r="G117" s="5" t="s">
        <v>513</v>
      </c>
      <c r="H117" s="8" t="s"/>
      <c r="I117" s="8" t="s"/>
      <c r="J117" s="8" t="s"/>
      <c r="K117" s="8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>
        <v>514</v>
      </c>
      <c r="B118" s="5" t="s">
        <v>206</v>
      </c>
      <c r="C118" s="5" t="s">
        <v>207</v>
      </c>
      <c r="D118" s="5" t="s">
        <v>277</v>
      </c>
      <c r="E118" s="5" t="s">
        <v>278</v>
      </c>
      <c r="F118" s="5">
        <v>9</v>
      </c>
      <c r="G118" s="5" t="s">
        <v>515</v>
      </c>
      <c r="H118" s="8" t="s"/>
      <c r="I118" s="8" t="s"/>
      <c r="J118" s="8" t="s"/>
      <c r="K118" s="8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>
        <v>516</v>
      </c>
      <c r="B119" s="5" t="s">
        <v>206</v>
      </c>
      <c r="C119" s="5" t="s">
        <v>207</v>
      </c>
      <c r="D119" s="5" t="s">
        <v>297</v>
      </c>
      <c r="E119" s="5" t="s">
        <v>298</v>
      </c>
      <c r="F119" s="5">
        <v>1</v>
      </c>
      <c r="G119" s="5" t="s">
        <v>517</v>
      </c>
      <c r="H119" s="8" t="s"/>
      <c r="I119" s="8" t="s"/>
      <c r="J119" s="8" t="s"/>
      <c r="K119" s="8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>
        <v>518</v>
      </c>
      <c r="B120" s="5" t="s">
        <v>206</v>
      </c>
      <c r="C120" s="5" t="s">
        <v>207</v>
      </c>
      <c r="D120" s="5" t="s">
        <v>297</v>
      </c>
      <c r="E120" s="5" t="s">
        <v>298</v>
      </c>
      <c r="F120" s="5">
        <v>2</v>
      </c>
      <c r="G120" s="5" t="s">
        <v>519</v>
      </c>
      <c r="H120" s="8" t="s"/>
      <c r="I120" s="8" t="s"/>
      <c r="J120" s="8" t="s"/>
      <c r="K120" s="8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>
        <v>520</v>
      </c>
      <c r="B121" s="5" t="s">
        <v>206</v>
      </c>
      <c r="C121" s="5" t="s">
        <v>207</v>
      </c>
      <c r="D121" s="5" t="s">
        <v>297</v>
      </c>
      <c r="E121" s="5" t="s">
        <v>298</v>
      </c>
      <c r="F121" s="5">
        <v>3</v>
      </c>
      <c r="G121" s="5" t="s">
        <v>521</v>
      </c>
      <c r="H121" s="8" t="s"/>
      <c r="I121" s="8" t="s"/>
      <c r="J121" s="8" t="s"/>
      <c r="K121" s="8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>
        <v>522</v>
      </c>
      <c r="B122" s="5" t="s">
        <v>206</v>
      </c>
      <c r="C122" s="5" t="s">
        <v>207</v>
      </c>
      <c r="D122" s="5" t="s">
        <v>297</v>
      </c>
      <c r="E122" s="5" t="s">
        <v>298</v>
      </c>
      <c r="F122" s="5">
        <v>4</v>
      </c>
      <c r="G122" s="5" t="s">
        <v>523</v>
      </c>
      <c r="H122" s="8" t="s"/>
      <c r="I122" s="8" t="s"/>
      <c r="J122" s="8" t="s"/>
      <c r="K122" s="8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>
        <v>524</v>
      </c>
      <c r="B123" s="5" t="s">
        <v>206</v>
      </c>
      <c r="C123" s="5" t="s">
        <v>207</v>
      </c>
      <c r="D123" s="5" t="s">
        <v>297</v>
      </c>
      <c r="E123" s="5" t="s">
        <v>298</v>
      </c>
      <c r="F123" s="5">
        <v>5</v>
      </c>
      <c r="G123" s="5" t="s">
        <v>525</v>
      </c>
      <c r="H123" s="8" t="s"/>
      <c r="I123" s="8" t="s"/>
      <c r="J123" s="8" t="s"/>
      <c r="K123" s="8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>
        <v>526</v>
      </c>
      <c r="B124" s="5" t="s">
        <v>206</v>
      </c>
      <c r="C124" s="5" t="s">
        <v>207</v>
      </c>
      <c r="D124" s="5" t="s">
        <v>297</v>
      </c>
      <c r="E124" s="5" t="s">
        <v>298</v>
      </c>
      <c r="F124" s="5">
        <v>6</v>
      </c>
      <c r="G124" s="5" t="s">
        <v>527</v>
      </c>
      <c r="H124" s="8" t="s"/>
      <c r="I124" s="8" t="s"/>
      <c r="J124" s="8" t="s"/>
      <c r="K124" s="8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>
        <v>528</v>
      </c>
      <c r="B125" s="5" t="s">
        <v>206</v>
      </c>
      <c r="C125" s="5" t="s">
        <v>207</v>
      </c>
      <c r="D125" s="5" t="s">
        <v>297</v>
      </c>
      <c r="E125" s="5" t="s">
        <v>298</v>
      </c>
      <c r="F125" s="5">
        <v>7</v>
      </c>
      <c r="G125" s="5" t="s">
        <v>529</v>
      </c>
      <c r="H125" s="8" t="s"/>
      <c r="I125" s="8" t="s"/>
      <c r="J125" s="8" t="s"/>
      <c r="K125" s="8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>
        <v>530</v>
      </c>
      <c r="B126" s="5" t="s">
        <v>206</v>
      </c>
      <c r="C126" s="5" t="s">
        <v>207</v>
      </c>
      <c r="D126" s="5" t="s">
        <v>297</v>
      </c>
      <c r="E126" s="5" t="s">
        <v>298</v>
      </c>
      <c r="F126" s="5">
        <v>8</v>
      </c>
      <c r="G126" s="5" t="s">
        <v>531</v>
      </c>
      <c r="H126" s="8" t="s"/>
      <c r="I126" s="8" t="s"/>
      <c r="J126" s="8" t="s"/>
      <c r="K126" s="8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>
        <v>532</v>
      </c>
      <c r="B127" s="5" t="s">
        <v>206</v>
      </c>
      <c r="C127" s="5" t="s">
        <v>207</v>
      </c>
      <c r="D127" s="5" t="s">
        <v>297</v>
      </c>
      <c r="E127" s="5" t="s">
        <v>298</v>
      </c>
      <c r="F127" s="5">
        <v>9</v>
      </c>
      <c r="G127" s="5" t="s">
        <v>533</v>
      </c>
      <c r="H127" s="8" t="s"/>
      <c r="I127" s="8" t="s"/>
      <c r="J127" s="8" t="s"/>
      <c r="K127" s="8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>
        <v>534</v>
      </c>
      <c r="B128" s="5" t="s">
        <v>206</v>
      </c>
      <c r="C128" s="5" t="s">
        <v>207</v>
      </c>
      <c r="D128" s="5" t="s">
        <v>317</v>
      </c>
      <c r="E128" s="5" t="s">
        <v>318</v>
      </c>
      <c r="F128" s="5">
        <v>1</v>
      </c>
      <c r="G128" s="5" t="s">
        <v>535</v>
      </c>
      <c r="H128" s="8" t="s"/>
      <c r="I128" s="8" t="s"/>
      <c r="J128" s="8" t="s"/>
      <c r="K128" s="8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>
        <v>536</v>
      </c>
      <c r="B129" s="5" t="s">
        <v>206</v>
      </c>
      <c r="C129" s="5" t="s">
        <v>207</v>
      </c>
      <c r="D129" s="5" t="s">
        <v>317</v>
      </c>
      <c r="E129" s="5" t="s">
        <v>318</v>
      </c>
      <c r="F129" s="5">
        <v>2</v>
      </c>
      <c r="G129" s="5" t="s">
        <v>537</v>
      </c>
      <c r="H129" s="8" t="s"/>
      <c r="I129" s="8" t="s"/>
      <c r="J129" s="8" t="s"/>
      <c r="K129" s="8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>
        <v>538</v>
      </c>
      <c r="B130" s="5" t="s">
        <v>206</v>
      </c>
      <c r="C130" s="5" t="s">
        <v>207</v>
      </c>
      <c r="D130" s="5" t="s">
        <v>317</v>
      </c>
      <c r="E130" s="5" t="s">
        <v>318</v>
      </c>
      <c r="F130" s="5">
        <v>3</v>
      </c>
      <c r="G130" s="5" t="s">
        <v>539</v>
      </c>
      <c r="H130" s="8" t="s"/>
      <c r="I130" s="8" t="s"/>
      <c r="J130" s="8" t="s"/>
      <c r="K130" s="8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>
        <v>540</v>
      </c>
      <c r="B131" s="5" t="s">
        <v>206</v>
      </c>
      <c r="C131" s="5" t="s">
        <v>207</v>
      </c>
      <c r="D131" s="5" t="s">
        <v>317</v>
      </c>
      <c r="E131" s="5" t="s">
        <v>318</v>
      </c>
      <c r="F131" s="5">
        <v>4</v>
      </c>
      <c r="G131" s="5" t="s">
        <v>541</v>
      </c>
      <c r="H131" s="8" t="s"/>
      <c r="I131" s="8" t="s"/>
      <c r="J131" s="8" t="s"/>
      <c r="K131" s="8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>
        <v>542</v>
      </c>
      <c r="B132" s="5" t="s">
        <v>206</v>
      </c>
      <c r="C132" s="5" t="s">
        <v>207</v>
      </c>
      <c r="D132" s="5" t="s">
        <v>317</v>
      </c>
      <c r="E132" s="5" t="s">
        <v>318</v>
      </c>
      <c r="F132" s="5">
        <v>5</v>
      </c>
      <c r="G132" s="5" t="s">
        <v>543</v>
      </c>
      <c r="H132" s="8" t="s"/>
      <c r="I132" s="8" t="s"/>
      <c r="J132" s="8" t="s"/>
      <c r="K132" s="8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>
        <v>544</v>
      </c>
      <c r="B133" s="5" t="s">
        <v>206</v>
      </c>
      <c r="C133" s="5" t="s">
        <v>207</v>
      </c>
      <c r="D133" s="5" t="s">
        <v>317</v>
      </c>
      <c r="E133" s="5" t="s">
        <v>318</v>
      </c>
      <c r="F133" s="5">
        <v>6</v>
      </c>
      <c r="G133" s="5" t="s">
        <v>545</v>
      </c>
      <c r="H133" s="8" t="s"/>
      <c r="I133" s="8" t="s"/>
      <c r="J133" s="8" t="s"/>
      <c r="K133" s="8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>
        <v>546</v>
      </c>
      <c r="B134" s="5" t="s">
        <v>206</v>
      </c>
      <c r="C134" s="5" t="s">
        <v>207</v>
      </c>
      <c r="D134" s="5" t="s">
        <v>317</v>
      </c>
      <c r="E134" s="5" t="s">
        <v>318</v>
      </c>
      <c r="F134" s="5">
        <v>7</v>
      </c>
      <c r="G134" s="5" t="s">
        <v>547</v>
      </c>
      <c r="H134" s="8" t="s"/>
      <c r="I134" s="8" t="s"/>
      <c r="J134" s="8" t="s"/>
      <c r="K134" s="8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>
        <v>548</v>
      </c>
      <c r="B135" s="5" t="s">
        <v>206</v>
      </c>
      <c r="C135" s="5" t="s">
        <v>207</v>
      </c>
      <c r="D135" s="5" t="s">
        <v>317</v>
      </c>
      <c r="E135" s="5" t="s">
        <v>318</v>
      </c>
      <c r="F135" s="5">
        <v>8</v>
      </c>
      <c r="G135" s="5" t="s">
        <v>549</v>
      </c>
      <c r="H135" s="8" t="s"/>
      <c r="I135" s="8" t="s"/>
      <c r="J135" s="8" t="s"/>
      <c r="K135" s="8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>
        <v>550</v>
      </c>
      <c r="B136" s="5" t="s">
        <v>206</v>
      </c>
      <c r="C136" s="5" t="s">
        <v>207</v>
      </c>
      <c r="D136" s="5" t="s">
        <v>317</v>
      </c>
      <c r="E136" s="5" t="s">
        <v>318</v>
      </c>
      <c r="F136" s="5">
        <v>9</v>
      </c>
      <c r="G136" s="5" t="s">
        <v>551</v>
      </c>
      <c r="H136" s="8" t="s"/>
      <c r="I136" s="8" t="s"/>
      <c r="J136" s="8" t="s"/>
      <c r="K136" s="8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>
        <v>552</v>
      </c>
      <c r="B137" s="5" t="s">
        <v>209</v>
      </c>
      <c r="C137" s="5" t="s">
        <v>210</v>
      </c>
      <c r="D137" s="5" t="s">
        <v>277</v>
      </c>
      <c r="E137" s="5" t="s">
        <v>278</v>
      </c>
      <c r="F137" s="5">
        <v>1</v>
      </c>
      <c r="G137" s="5" t="s">
        <v>553</v>
      </c>
      <c r="H137" s="8" t="s"/>
      <c r="I137" s="8" t="s"/>
      <c r="J137" s="8" t="s"/>
      <c r="K137" s="8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>
        <v>554</v>
      </c>
      <c r="B138" s="5" t="s">
        <v>209</v>
      </c>
      <c r="C138" s="5" t="s">
        <v>210</v>
      </c>
      <c r="D138" s="5" t="s">
        <v>277</v>
      </c>
      <c r="E138" s="5" t="s">
        <v>278</v>
      </c>
      <c r="F138" s="5">
        <v>2</v>
      </c>
      <c r="G138" s="5" t="s">
        <v>555</v>
      </c>
      <c r="H138" s="8" t="s"/>
      <c r="I138" s="8" t="s"/>
      <c r="J138" s="8" t="s"/>
      <c r="K138" s="8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>
        <v>556</v>
      </c>
      <c r="B139" s="5" t="s">
        <v>209</v>
      </c>
      <c r="C139" s="5" t="s">
        <v>210</v>
      </c>
      <c r="D139" s="5" t="s">
        <v>277</v>
      </c>
      <c r="E139" s="5" t="s">
        <v>278</v>
      </c>
      <c r="F139" s="5">
        <v>3</v>
      </c>
      <c r="G139" s="5" t="s">
        <v>557</v>
      </c>
      <c r="H139" s="8" t="s"/>
      <c r="I139" s="8" t="s"/>
      <c r="J139" s="8" t="s"/>
      <c r="K139" s="8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>
        <v>558</v>
      </c>
      <c r="B140" s="5" t="s">
        <v>209</v>
      </c>
      <c r="C140" s="5" t="s">
        <v>210</v>
      </c>
      <c r="D140" s="5" t="s">
        <v>277</v>
      </c>
      <c r="E140" s="5" t="s">
        <v>278</v>
      </c>
      <c r="F140" s="5">
        <v>4</v>
      </c>
      <c r="G140" s="5" t="s">
        <v>559</v>
      </c>
      <c r="H140" s="8" t="s"/>
      <c r="I140" s="8" t="s"/>
      <c r="J140" s="8" t="s"/>
      <c r="K140" s="8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>
        <v>560</v>
      </c>
      <c r="B141" s="5" t="s">
        <v>209</v>
      </c>
      <c r="C141" s="5" t="s">
        <v>210</v>
      </c>
      <c r="D141" s="5" t="s">
        <v>277</v>
      </c>
      <c r="E141" s="5" t="s">
        <v>278</v>
      </c>
      <c r="F141" s="5">
        <v>5</v>
      </c>
      <c r="G141" s="5" t="s">
        <v>561</v>
      </c>
      <c r="H141" s="8" t="s"/>
      <c r="I141" s="8" t="s"/>
      <c r="J141" s="8" t="s"/>
      <c r="K141" s="8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>
        <v>562</v>
      </c>
      <c r="B142" s="5" t="s">
        <v>209</v>
      </c>
      <c r="C142" s="5" t="s">
        <v>210</v>
      </c>
      <c r="D142" s="5" t="s">
        <v>277</v>
      </c>
      <c r="E142" s="5" t="s">
        <v>278</v>
      </c>
      <c r="F142" s="5">
        <v>6</v>
      </c>
      <c r="G142" s="5" t="s">
        <v>563</v>
      </c>
      <c r="H142" s="8" t="s"/>
      <c r="I142" s="8" t="s"/>
      <c r="J142" s="8" t="s"/>
      <c r="K142" s="8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>
        <v>564</v>
      </c>
      <c r="B143" s="5" t="s">
        <v>209</v>
      </c>
      <c r="C143" s="5" t="s">
        <v>210</v>
      </c>
      <c r="D143" s="5" t="s">
        <v>277</v>
      </c>
      <c r="E143" s="5" t="s">
        <v>278</v>
      </c>
      <c r="F143" s="5">
        <v>7</v>
      </c>
      <c r="G143" s="5" t="s">
        <v>565</v>
      </c>
      <c r="H143" s="8" t="s"/>
      <c r="I143" s="8" t="s"/>
      <c r="J143" s="8" t="s"/>
      <c r="K143" s="8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>
        <v>566</v>
      </c>
      <c r="B144" s="5" t="s">
        <v>209</v>
      </c>
      <c r="C144" s="5" t="s">
        <v>210</v>
      </c>
      <c r="D144" s="5" t="s">
        <v>277</v>
      </c>
      <c r="E144" s="5" t="s">
        <v>278</v>
      </c>
      <c r="F144" s="5">
        <v>8</v>
      </c>
      <c r="G144" s="5" t="s">
        <v>567</v>
      </c>
      <c r="H144" s="8" t="s"/>
      <c r="I144" s="8" t="s"/>
      <c r="J144" s="8" t="s"/>
      <c r="K144" s="8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>
        <v>568</v>
      </c>
      <c r="B145" s="5" t="s">
        <v>209</v>
      </c>
      <c r="C145" s="5" t="s">
        <v>210</v>
      </c>
      <c r="D145" s="5" t="s">
        <v>277</v>
      </c>
      <c r="E145" s="5" t="s">
        <v>278</v>
      </c>
      <c r="F145" s="5">
        <v>9</v>
      </c>
      <c r="G145" s="5" t="s">
        <v>569</v>
      </c>
      <c r="H145" s="8" t="s"/>
      <c r="I145" s="8" t="s"/>
      <c r="J145" s="8" t="s"/>
      <c r="K145" s="8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>
        <v>570</v>
      </c>
      <c r="B146" s="5" t="s">
        <v>209</v>
      </c>
      <c r="C146" s="5" t="s">
        <v>210</v>
      </c>
      <c r="D146" s="5" t="s">
        <v>297</v>
      </c>
      <c r="E146" s="5" t="s">
        <v>298</v>
      </c>
      <c r="F146" s="5">
        <v>1</v>
      </c>
      <c r="G146" s="5" t="s">
        <v>571</v>
      </c>
      <c r="H146" s="8" t="s"/>
      <c r="I146" s="8" t="s"/>
      <c r="J146" s="8" t="s"/>
      <c r="K146" s="8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>
        <v>572</v>
      </c>
      <c r="B147" s="5" t="s">
        <v>209</v>
      </c>
      <c r="C147" s="5" t="s">
        <v>210</v>
      </c>
      <c r="D147" s="5" t="s">
        <v>297</v>
      </c>
      <c r="E147" s="5" t="s">
        <v>298</v>
      </c>
      <c r="F147" s="5">
        <v>2</v>
      </c>
      <c r="G147" s="5" t="s">
        <v>573</v>
      </c>
      <c r="H147" s="8" t="s"/>
      <c r="I147" s="8" t="s"/>
      <c r="J147" s="8" t="s"/>
      <c r="K147" s="8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>
        <v>574</v>
      </c>
      <c r="B148" s="5" t="s">
        <v>209</v>
      </c>
      <c r="C148" s="5" t="s">
        <v>210</v>
      </c>
      <c r="D148" s="5" t="s">
        <v>297</v>
      </c>
      <c r="E148" s="5" t="s">
        <v>298</v>
      </c>
      <c r="F148" s="5">
        <v>3</v>
      </c>
      <c r="G148" s="5" t="s">
        <v>575</v>
      </c>
      <c r="H148" s="8" t="s"/>
      <c r="I148" s="8" t="s"/>
      <c r="J148" s="8" t="s"/>
      <c r="K148" s="8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>
        <v>576</v>
      </c>
      <c r="B149" s="5" t="s">
        <v>209</v>
      </c>
      <c r="C149" s="5" t="s">
        <v>210</v>
      </c>
      <c r="D149" s="5" t="s">
        <v>297</v>
      </c>
      <c r="E149" s="5" t="s">
        <v>298</v>
      </c>
      <c r="F149" s="5">
        <v>4</v>
      </c>
      <c r="G149" s="5" t="s">
        <v>577</v>
      </c>
      <c r="H149" s="8" t="s"/>
      <c r="I149" s="8" t="s"/>
      <c r="J149" s="8" t="s"/>
      <c r="K149" s="8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>
        <v>578</v>
      </c>
      <c r="B150" s="5" t="s">
        <v>209</v>
      </c>
      <c r="C150" s="5" t="s">
        <v>210</v>
      </c>
      <c r="D150" s="5" t="s">
        <v>297</v>
      </c>
      <c r="E150" s="5" t="s">
        <v>298</v>
      </c>
      <c r="F150" s="5">
        <v>5</v>
      </c>
      <c r="G150" s="5" t="s">
        <v>579</v>
      </c>
      <c r="H150" s="8" t="s"/>
      <c r="I150" s="8" t="s"/>
      <c r="J150" s="8" t="s"/>
      <c r="K150" s="8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>
        <v>580</v>
      </c>
      <c r="B151" s="5" t="s">
        <v>209</v>
      </c>
      <c r="C151" s="5" t="s">
        <v>210</v>
      </c>
      <c r="D151" s="5" t="s">
        <v>297</v>
      </c>
      <c r="E151" s="5" t="s">
        <v>298</v>
      </c>
      <c r="F151" s="5">
        <v>6</v>
      </c>
      <c r="G151" s="5" t="s">
        <v>581</v>
      </c>
      <c r="H151" s="8" t="s"/>
      <c r="I151" s="8" t="s"/>
      <c r="J151" s="8" t="s"/>
      <c r="K151" s="8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>
        <v>582</v>
      </c>
      <c r="B152" s="5" t="s">
        <v>209</v>
      </c>
      <c r="C152" s="5" t="s">
        <v>210</v>
      </c>
      <c r="D152" s="5" t="s">
        <v>297</v>
      </c>
      <c r="E152" s="5" t="s">
        <v>298</v>
      </c>
      <c r="F152" s="5">
        <v>7</v>
      </c>
      <c r="G152" s="5" t="s">
        <v>583</v>
      </c>
      <c r="H152" s="8" t="s"/>
      <c r="I152" s="8" t="s"/>
      <c r="J152" s="8" t="s"/>
      <c r="K152" s="8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>
        <v>584</v>
      </c>
      <c r="B153" s="5" t="s">
        <v>209</v>
      </c>
      <c r="C153" s="5" t="s">
        <v>210</v>
      </c>
      <c r="D153" s="5" t="s">
        <v>297</v>
      </c>
      <c r="E153" s="5" t="s">
        <v>298</v>
      </c>
      <c r="F153" s="5">
        <v>8</v>
      </c>
      <c r="G153" s="5" t="s">
        <v>585</v>
      </c>
      <c r="H153" s="8" t="s"/>
      <c r="I153" s="8" t="s"/>
      <c r="J153" s="8" t="s"/>
      <c r="K153" s="8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>
        <v>586</v>
      </c>
      <c r="B154" s="5" t="s">
        <v>209</v>
      </c>
      <c r="C154" s="5" t="s">
        <v>210</v>
      </c>
      <c r="D154" s="5" t="s">
        <v>297</v>
      </c>
      <c r="E154" s="5" t="s">
        <v>298</v>
      </c>
      <c r="F154" s="5">
        <v>9</v>
      </c>
      <c r="G154" s="5" t="s">
        <v>587</v>
      </c>
      <c r="H154" s="8" t="s"/>
      <c r="I154" s="8" t="s"/>
      <c r="J154" s="8" t="s"/>
      <c r="K154" s="8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>
        <v>588</v>
      </c>
      <c r="B155" s="5" t="s">
        <v>209</v>
      </c>
      <c r="C155" s="5" t="s">
        <v>210</v>
      </c>
      <c r="D155" s="5" t="s">
        <v>317</v>
      </c>
      <c r="E155" s="5" t="s">
        <v>318</v>
      </c>
      <c r="F155" s="5">
        <v>1</v>
      </c>
      <c r="G155" s="5" t="s">
        <v>589</v>
      </c>
      <c r="H155" s="8" t="s"/>
      <c r="I155" s="8" t="s"/>
      <c r="J155" s="8" t="s"/>
      <c r="K155" s="8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>
        <v>590</v>
      </c>
      <c r="B156" s="5" t="s">
        <v>209</v>
      </c>
      <c r="C156" s="5" t="s">
        <v>210</v>
      </c>
      <c r="D156" s="5" t="s">
        <v>317</v>
      </c>
      <c r="E156" s="5" t="s">
        <v>318</v>
      </c>
      <c r="F156" s="5">
        <v>2</v>
      </c>
      <c r="G156" s="5" t="s">
        <v>591</v>
      </c>
      <c r="H156" s="8" t="s"/>
      <c r="I156" s="8" t="s"/>
      <c r="J156" s="8" t="s"/>
      <c r="K156" s="8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>
        <v>592</v>
      </c>
      <c r="B157" s="5" t="s">
        <v>209</v>
      </c>
      <c r="C157" s="5" t="s">
        <v>210</v>
      </c>
      <c r="D157" s="5" t="s">
        <v>317</v>
      </c>
      <c r="E157" s="5" t="s">
        <v>318</v>
      </c>
      <c r="F157" s="5">
        <v>3</v>
      </c>
      <c r="G157" s="5" t="s">
        <v>593</v>
      </c>
      <c r="H157" s="8" t="s"/>
      <c r="I157" s="8" t="s"/>
      <c r="J157" s="8" t="s"/>
      <c r="K157" s="8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>
        <v>594</v>
      </c>
      <c r="B158" s="5" t="s">
        <v>209</v>
      </c>
      <c r="C158" s="5" t="s">
        <v>210</v>
      </c>
      <c r="D158" s="5" t="s">
        <v>317</v>
      </c>
      <c r="E158" s="5" t="s">
        <v>318</v>
      </c>
      <c r="F158" s="5">
        <v>4</v>
      </c>
      <c r="G158" s="5" t="s">
        <v>595</v>
      </c>
      <c r="H158" s="8" t="s"/>
      <c r="I158" s="8" t="s"/>
      <c r="J158" s="8" t="s"/>
      <c r="K158" s="8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>
        <v>596</v>
      </c>
      <c r="B159" s="5" t="s">
        <v>209</v>
      </c>
      <c r="C159" s="5" t="s">
        <v>210</v>
      </c>
      <c r="D159" s="5" t="s">
        <v>317</v>
      </c>
      <c r="E159" s="5" t="s">
        <v>318</v>
      </c>
      <c r="F159" s="5">
        <v>5</v>
      </c>
      <c r="G159" s="5" t="s">
        <v>597</v>
      </c>
      <c r="H159" s="8" t="s"/>
      <c r="I159" s="8" t="s"/>
      <c r="J159" s="8" t="s"/>
      <c r="K159" s="8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>
        <v>598</v>
      </c>
      <c r="B160" s="5" t="s">
        <v>209</v>
      </c>
      <c r="C160" s="5" t="s">
        <v>210</v>
      </c>
      <c r="D160" s="5" t="s">
        <v>317</v>
      </c>
      <c r="E160" s="5" t="s">
        <v>318</v>
      </c>
      <c r="F160" s="5">
        <v>6</v>
      </c>
      <c r="G160" s="5" t="s">
        <v>599</v>
      </c>
      <c r="H160" s="8" t="s"/>
      <c r="I160" s="8" t="s"/>
      <c r="J160" s="8" t="s"/>
      <c r="K160" s="8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>
        <v>600</v>
      </c>
      <c r="B161" s="5" t="s">
        <v>209</v>
      </c>
      <c r="C161" s="5" t="s">
        <v>210</v>
      </c>
      <c r="D161" s="5" t="s">
        <v>317</v>
      </c>
      <c r="E161" s="5" t="s">
        <v>318</v>
      </c>
      <c r="F161" s="5">
        <v>7</v>
      </c>
      <c r="G161" s="5" t="s">
        <v>601</v>
      </c>
      <c r="H161" s="8" t="s"/>
      <c r="I161" s="8" t="s"/>
      <c r="J161" s="8" t="s"/>
      <c r="K161" s="8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>
        <v>602</v>
      </c>
      <c r="B162" s="5" t="s">
        <v>209</v>
      </c>
      <c r="C162" s="5" t="s">
        <v>210</v>
      </c>
      <c r="D162" s="5" t="s">
        <v>317</v>
      </c>
      <c r="E162" s="5" t="s">
        <v>318</v>
      </c>
      <c r="F162" s="5">
        <v>8</v>
      </c>
      <c r="G162" s="5" t="s">
        <v>603</v>
      </c>
      <c r="H162" s="8" t="s"/>
      <c r="I162" s="8" t="s"/>
      <c r="J162" s="8" t="s"/>
      <c r="K162" s="8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>
        <v>604</v>
      </c>
      <c r="B163" s="5" t="s">
        <v>209</v>
      </c>
      <c r="C163" s="5" t="s">
        <v>210</v>
      </c>
      <c r="D163" s="5" t="s">
        <v>317</v>
      </c>
      <c r="E163" s="5" t="s">
        <v>318</v>
      </c>
      <c r="F163" s="5">
        <v>9</v>
      </c>
      <c r="G163" s="5" t="s">
        <v>605</v>
      </c>
      <c r="H163" s="8" t="s"/>
      <c r="I163" s="8" t="s"/>
      <c r="J163" s="8" t="s"/>
      <c r="K163" s="8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</sheetData>
  <dataValidations>
    <dataValidation type="list" operator="between" allowBlank="0" showDropDown="0" showInputMessage="0" showErrorMessage="0" sqref="I2:I163">
      <formula1>"成功,失败/拒绝"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Z163"/>
  <sheetViews>
    <sheetView showGridLines="1" workbookViewId="0">
      <pane ySplit="1" topLeftCell="A2" activePane="bottomLeft" state="frozen"/>
    </sheetView>
  </sheetViews>
  <sheetFormatPr baseColWidth="8" defaultRowHeight="13.8"/>
  <cols>
    <col min="1" max="1" width="9.79688" customWidth="1"/>
    <col min="2" max="2" width="3.09766" customWidth="1"/>
    <col min="3" max="3" width="18.1992" customWidth="1"/>
    <col min="4" max="4" width="3.5" customWidth="1"/>
    <col min="5" max="5" width="3.69922" customWidth="1"/>
    <col min="6" max="6" width="10" customWidth="1"/>
    <col min="7" max="24" width="7" customWidth="1"/>
    <col min="25" max="25" width="24" customWidth="1"/>
  </cols>
  <sheetData>
    <row r="1" spans="1:26" ht="55.2" customHeight="1">
      <c r="A1" s="7" t="s">
        <v>267</v>
      </c>
      <c r="B1" s="7" t="s">
        <v>190</v>
      </c>
      <c r="C1" s="7" t="s">
        <v>191</v>
      </c>
      <c r="D1" s="7" t="s">
        <v>268</v>
      </c>
      <c r="E1" s="7" t="s">
        <v>270</v>
      </c>
      <c r="F1" s="7" t="s">
        <v>235</v>
      </c>
      <c r="G1" s="7" t="s">
        <v>221</v>
      </c>
      <c r="H1" s="7" t="s">
        <v>225</v>
      </c>
      <c r="I1" s="7" t="s">
        <v>229</v>
      </c>
      <c r="J1" s="7" t="s">
        <v>233</v>
      </c>
      <c r="K1" s="7" t="s">
        <v>237</v>
      </c>
      <c r="L1" s="7" t="s">
        <v>241</v>
      </c>
      <c r="M1" s="7" t="s">
        <v>243</v>
      </c>
      <c r="N1" s="7" t="s">
        <v>245</v>
      </c>
      <c r="O1" s="7" t="s">
        <v>247</v>
      </c>
      <c r="P1" s="7" t="s">
        <v>249</v>
      </c>
      <c r="Q1" s="7" t="s">
        <v>251</v>
      </c>
      <c r="R1" s="7" t="s">
        <v>253</v>
      </c>
      <c r="S1" s="7" t="s">
        <v>255</v>
      </c>
      <c r="T1" s="7" t="s">
        <v>257</v>
      </c>
      <c r="U1" s="7" t="s">
        <v>259</v>
      </c>
      <c r="V1" s="7" t="s">
        <v>261</v>
      </c>
      <c r="W1" s="7" t="s">
        <v>263</v>
      </c>
      <c r="X1" s="7" t="s">
        <v>265</v>
      </c>
      <c r="Y1" s="7" t="s">
        <v>606</v>
      </c>
      <c r="Z1" s="5" t="s"/>
    </row>
    <row r="2" spans="1:26">
      <c r="A2" s="9" t="str">
        <f>=样本清单!A2</f>
        <v>M1_P1_01</v>
      </c>
      <c r="B2" s="9" t="str">
        <f>=样本清单!B2</f>
        <v>M1</v>
      </c>
      <c r="C2" s="9" t="str">
        <f>=样本清单!C2</f>
        <v>ChatGPT Images 2.0</v>
      </c>
      <c r="D2" s="9" t="str">
        <f>=样本清单!D2</f>
        <v>P1</v>
      </c>
      <c r="E2" s="9">
        <f>=样本清单!F2</f>
        <v>1</v>
      </c>
      <c r="F2" s="8">
        <v>0</v>
      </c>
      <c r="G2" s="8">
        <v>0</v>
      </c>
      <c r="H2" s="8">
        <v>1</v>
      </c>
      <c r="I2" s="8">
        <v>0</v>
      </c>
      <c r="J2" s="8">
        <v>2</v>
      </c>
      <c r="K2" s="8">
        <v>0</v>
      </c>
      <c r="L2" s="8">
        <v>1</v>
      </c>
      <c r="M2" s="8">
        <v>1</v>
      </c>
      <c r="N2" s="8" t="s">
        <v>607</v>
      </c>
      <c r="O2" s="8">
        <v>1</v>
      </c>
      <c r="P2" s="8">
        <v>0</v>
      </c>
      <c r="Q2" s="8">
        <v>0</v>
      </c>
      <c r="R2" s="8">
        <v>0</v>
      </c>
      <c r="S2" s="8">
        <v>2</v>
      </c>
      <c r="T2" s="8">
        <v>2</v>
      </c>
      <c r="U2" s="8">
        <v>0</v>
      </c>
      <c r="V2" s="8">
        <v>0</v>
      </c>
      <c r="W2" s="8">
        <v>1</v>
      </c>
      <c r="X2" s="8">
        <v>1</v>
      </c>
      <c r="Y2" s="8" t="s"/>
      <c r="Z2" s="5" t="s"/>
    </row>
    <row r="3" spans="1:26">
      <c r="A3" s="9" t="str">
        <f>=样本清单!A3</f>
        <v>M1_P1_02</v>
      </c>
      <c r="B3" s="9" t="str">
        <f>=样本清单!B3</f>
        <v>M1</v>
      </c>
      <c r="C3" s="9" t="str">
        <f>=样本清单!C3</f>
        <v>ChatGPT Images 2.0</v>
      </c>
      <c r="D3" s="9" t="str">
        <f>=样本清单!D3</f>
        <v>P1</v>
      </c>
      <c r="E3" s="9">
        <f>=样本清单!F3</f>
        <v>2</v>
      </c>
      <c r="F3" s="8">
        <v>0</v>
      </c>
      <c r="G3" s="8">
        <v>1</v>
      </c>
      <c r="H3" s="8">
        <v>0</v>
      </c>
      <c r="I3" s="8">
        <v>0</v>
      </c>
      <c r="J3" s="8">
        <v>2</v>
      </c>
      <c r="K3" s="8">
        <v>0</v>
      </c>
      <c r="L3" s="8">
        <v>2</v>
      </c>
      <c r="M3" s="8">
        <v>2</v>
      </c>
      <c r="N3" s="8" t="s">
        <v>607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8">
        <v>0</v>
      </c>
      <c r="U3" s="8">
        <v>1</v>
      </c>
      <c r="V3" s="8">
        <v>0</v>
      </c>
      <c r="W3" s="8">
        <v>0</v>
      </c>
      <c r="X3" s="8">
        <v>1</v>
      </c>
      <c r="Y3" s="8" t="s"/>
      <c r="Z3" s="5" t="s"/>
    </row>
    <row r="4" spans="1:26">
      <c r="A4" s="9" t="str">
        <f>=样本清单!A4</f>
        <v>M1_P1_03</v>
      </c>
      <c r="B4" s="9" t="str">
        <f>=样本清单!B4</f>
        <v>M1</v>
      </c>
      <c r="C4" s="9" t="str">
        <f>=样本清单!C4</f>
        <v>ChatGPT Images 2.0</v>
      </c>
      <c r="D4" s="9" t="str">
        <f>=样本清单!D4</f>
        <v>P1</v>
      </c>
      <c r="E4" s="9">
        <f>=样本清单!F4</f>
        <v>3</v>
      </c>
      <c r="F4" s="8">
        <v>1</v>
      </c>
      <c r="G4" s="8">
        <v>1</v>
      </c>
      <c r="H4" s="8">
        <v>2</v>
      </c>
      <c r="I4" s="8">
        <v>0</v>
      </c>
      <c r="J4" s="8">
        <v>2</v>
      </c>
      <c r="K4" s="8">
        <v>0</v>
      </c>
      <c r="L4" s="8">
        <v>2</v>
      </c>
      <c r="M4" s="8">
        <v>2</v>
      </c>
      <c r="N4" s="8" t="s">
        <v>607</v>
      </c>
      <c r="O4" s="8">
        <v>2</v>
      </c>
      <c r="P4" s="8">
        <v>0</v>
      </c>
      <c r="Q4" s="8">
        <v>1</v>
      </c>
      <c r="R4" s="8">
        <v>0</v>
      </c>
      <c r="S4" s="8">
        <v>1</v>
      </c>
      <c r="T4" s="8">
        <v>2</v>
      </c>
      <c r="U4" s="8">
        <v>0</v>
      </c>
      <c r="V4" s="8">
        <v>1</v>
      </c>
      <c r="W4" s="8">
        <v>1</v>
      </c>
      <c r="X4" s="8">
        <v>1</v>
      </c>
      <c r="Y4" s="8" t="s"/>
      <c r="Z4" s="5" t="s"/>
    </row>
    <row r="5" spans="1:26">
      <c r="A5" s="9" t="str">
        <f>=样本清单!A5</f>
        <v>M1_P1_04</v>
      </c>
      <c r="B5" s="9" t="str">
        <f>=样本清单!B5</f>
        <v>M1</v>
      </c>
      <c r="C5" s="9" t="str">
        <f>=样本清单!C5</f>
        <v>ChatGPT Images 2.0</v>
      </c>
      <c r="D5" s="9" t="str">
        <f>=样本清单!D5</f>
        <v>P1</v>
      </c>
      <c r="E5" s="9">
        <f>=样本清单!F5</f>
        <v>4</v>
      </c>
      <c r="F5" s="8">
        <v>0</v>
      </c>
      <c r="G5" s="8">
        <v>0</v>
      </c>
      <c r="H5" s="8">
        <v>0</v>
      </c>
      <c r="I5" s="8">
        <v>0</v>
      </c>
      <c r="J5" s="8">
        <v>2</v>
      </c>
      <c r="K5" s="8">
        <v>0</v>
      </c>
      <c r="L5" s="8">
        <v>1</v>
      </c>
      <c r="M5" s="8">
        <v>1</v>
      </c>
      <c r="N5" s="8" t="s">
        <v>607</v>
      </c>
      <c r="O5" s="8">
        <v>0</v>
      </c>
      <c r="P5" s="8">
        <v>0</v>
      </c>
      <c r="Q5" s="8">
        <v>0</v>
      </c>
      <c r="R5" s="8">
        <v>0</v>
      </c>
      <c r="S5" s="8">
        <v>2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 t="s"/>
      <c r="Z5" s="5" t="s"/>
    </row>
    <row r="6" spans="1:26">
      <c r="A6" s="9" t="str">
        <f>=样本清单!A6</f>
        <v>M1_P1_05</v>
      </c>
      <c r="B6" s="9" t="str">
        <f>=样本清单!B6</f>
        <v>M1</v>
      </c>
      <c r="C6" s="9" t="str">
        <f>=样本清单!C6</f>
        <v>ChatGPT Images 2.0</v>
      </c>
      <c r="D6" s="9" t="str">
        <f>=样本清单!D6</f>
        <v>P1</v>
      </c>
      <c r="E6" s="9">
        <f>=样本清单!F6</f>
        <v>5</v>
      </c>
      <c r="F6" s="8">
        <v>0</v>
      </c>
      <c r="G6" s="8">
        <v>0</v>
      </c>
      <c r="H6" s="8">
        <v>0</v>
      </c>
      <c r="I6" s="8">
        <v>0</v>
      </c>
      <c r="J6" s="8">
        <v>2</v>
      </c>
      <c r="K6" s="8">
        <v>0</v>
      </c>
      <c r="L6" s="8">
        <v>1</v>
      </c>
      <c r="M6" s="8">
        <v>1</v>
      </c>
      <c r="N6" s="8">
        <v>0</v>
      </c>
      <c r="O6" s="8">
        <v>2</v>
      </c>
      <c r="P6" s="8">
        <v>0</v>
      </c>
      <c r="Q6" s="8">
        <v>0</v>
      </c>
      <c r="R6" s="8">
        <v>0</v>
      </c>
      <c r="S6" s="8">
        <v>2</v>
      </c>
      <c r="T6" s="8">
        <v>1</v>
      </c>
      <c r="U6" s="8">
        <v>0</v>
      </c>
      <c r="V6" s="8">
        <v>1</v>
      </c>
      <c r="W6" s="8">
        <v>2</v>
      </c>
      <c r="X6" s="8">
        <v>1</v>
      </c>
      <c r="Y6" s="8" t="s"/>
      <c r="Z6" s="5" t="s"/>
    </row>
    <row r="7" spans="1:26">
      <c r="A7" s="9" t="str">
        <f>=样本清单!A7</f>
        <v>M1_P1_06</v>
      </c>
      <c r="B7" s="9" t="str">
        <f>=样本清单!B7</f>
        <v>M1</v>
      </c>
      <c r="C7" s="9" t="str">
        <f>=样本清单!C7</f>
        <v>ChatGPT Images 2.0</v>
      </c>
      <c r="D7" s="9" t="str">
        <f>=样本清单!D7</f>
        <v>P1</v>
      </c>
      <c r="E7" s="9">
        <f>=样本清单!F7</f>
        <v>6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8">
        <v>0</v>
      </c>
      <c r="M7" s="8">
        <v>2</v>
      </c>
      <c r="N7" s="8" t="s">
        <v>607</v>
      </c>
      <c r="O7" s="8">
        <v>1</v>
      </c>
      <c r="P7" s="8">
        <v>0</v>
      </c>
      <c r="Q7" s="8">
        <v>0</v>
      </c>
      <c r="R7" s="8">
        <v>0</v>
      </c>
      <c r="S7" s="8">
        <v>1</v>
      </c>
      <c r="T7" s="8">
        <v>0</v>
      </c>
      <c r="U7" s="8">
        <v>0</v>
      </c>
      <c r="V7" s="8">
        <v>1</v>
      </c>
      <c r="W7" s="8">
        <v>0</v>
      </c>
      <c r="X7" s="8">
        <v>0</v>
      </c>
      <c r="Y7" s="8" t="s"/>
      <c r="Z7" s="5" t="s"/>
    </row>
    <row r="8" spans="1:26">
      <c r="A8" s="9" t="str">
        <f>=样本清单!A8</f>
        <v>M1_P1_07</v>
      </c>
      <c r="B8" s="9" t="str">
        <f>=样本清单!B8</f>
        <v>M1</v>
      </c>
      <c r="C8" s="9" t="str">
        <f>=样本清单!C8</f>
        <v>ChatGPT Images 2.0</v>
      </c>
      <c r="D8" s="9" t="str">
        <f>=样本清单!D8</f>
        <v>P1</v>
      </c>
      <c r="E8" s="9">
        <f>=样本清单!F8</f>
        <v>7</v>
      </c>
      <c r="F8" s="8">
        <v>1</v>
      </c>
      <c r="G8" s="8">
        <v>2</v>
      </c>
      <c r="H8" s="8">
        <v>1</v>
      </c>
      <c r="I8" s="8">
        <v>1</v>
      </c>
      <c r="J8" s="8">
        <v>1</v>
      </c>
      <c r="K8" s="8">
        <v>0</v>
      </c>
      <c r="L8" s="8">
        <v>2</v>
      </c>
      <c r="M8" s="8">
        <v>1</v>
      </c>
      <c r="N8" s="8" t="s">
        <v>607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1</v>
      </c>
      <c r="V8" s="8">
        <v>1</v>
      </c>
      <c r="W8" s="8">
        <v>2</v>
      </c>
      <c r="X8" s="8">
        <v>1</v>
      </c>
      <c r="Y8" s="8" t="s"/>
      <c r="Z8" s="5" t="s"/>
    </row>
    <row r="9" spans="1:26">
      <c r="A9" s="9" t="str">
        <f>=样本清单!A9</f>
        <v>M1_P1_08</v>
      </c>
      <c r="B9" s="9" t="str">
        <f>=样本清单!B9</f>
        <v>M1</v>
      </c>
      <c r="C9" s="9" t="str">
        <f>=样本清单!C9</f>
        <v>ChatGPT Images 2.0</v>
      </c>
      <c r="D9" s="9" t="str">
        <f>=样本清单!D9</f>
        <v>P1</v>
      </c>
      <c r="E9" s="9">
        <f>=样本清单!F9</f>
        <v>8</v>
      </c>
      <c r="F9" s="8">
        <v>1</v>
      </c>
      <c r="G9" s="8">
        <v>0</v>
      </c>
      <c r="H9" s="8">
        <v>1</v>
      </c>
      <c r="I9" s="8">
        <v>0</v>
      </c>
      <c r="J9" s="8">
        <v>2</v>
      </c>
      <c r="K9" s="8">
        <v>0</v>
      </c>
      <c r="L9" s="8">
        <v>2</v>
      </c>
      <c r="M9" s="8">
        <v>2</v>
      </c>
      <c r="N9" s="8">
        <v>2</v>
      </c>
      <c r="O9" s="8">
        <v>2</v>
      </c>
      <c r="P9" s="8">
        <v>0</v>
      </c>
      <c r="Q9" s="8">
        <v>0</v>
      </c>
      <c r="R9" s="8">
        <v>0</v>
      </c>
      <c r="S9" s="8">
        <v>2</v>
      </c>
      <c r="T9" s="8">
        <v>1</v>
      </c>
      <c r="U9" s="8">
        <v>1</v>
      </c>
      <c r="V9" s="8">
        <v>1</v>
      </c>
      <c r="W9" s="8">
        <v>2</v>
      </c>
      <c r="X9" s="8">
        <v>1</v>
      </c>
      <c r="Y9" s="8" t="s"/>
      <c r="Z9" s="5" t="s"/>
    </row>
    <row r="10" spans="1:26">
      <c r="A10" s="9" t="str">
        <f>=样本清单!A10</f>
        <v>M1_P1_09</v>
      </c>
      <c r="B10" s="9" t="str">
        <f>=样本清单!B10</f>
        <v>M1</v>
      </c>
      <c r="C10" s="9" t="str">
        <f>=样本清单!C10</f>
        <v>ChatGPT Images 2.0</v>
      </c>
      <c r="D10" s="9" t="str">
        <f>=样本清单!D10</f>
        <v>P1</v>
      </c>
      <c r="E10" s="9">
        <f>=样本清单!F10</f>
        <v>9</v>
      </c>
      <c r="F10" s="8">
        <v>0</v>
      </c>
      <c r="G10" s="8">
        <v>2</v>
      </c>
      <c r="H10" s="8">
        <v>2</v>
      </c>
      <c r="I10" s="8">
        <v>0</v>
      </c>
      <c r="J10" s="8">
        <v>2</v>
      </c>
      <c r="K10" s="8">
        <v>0</v>
      </c>
      <c r="L10" s="8">
        <v>1</v>
      </c>
      <c r="M10" s="8">
        <v>0</v>
      </c>
      <c r="N10" s="8">
        <v>0</v>
      </c>
      <c r="O10" s="8">
        <v>2</v>
      </c>
      <c r="P10" s="8">
        <v>0</v>
      </c>
      <c r="Q10" s="8">
        <v>0</v>
      </c>
      <c r="R10" s="8">
        <v>0</v>
      </c>
      <c r="S10" s="8">
        <v>2</v>
      </c>
      <c r="T10" s="8">
        <v>1</v>
      </c>
      <c r="U10" s="8">
        <v>1</v>
      </c>
      <c r="V10" s="8">
        <v>2</v>
      </c>
      <c r="W10" s="8">
        <v>1</v>
      </c>
      <c r="X10" s="8">
        <v>1</v>
      </c>
      <c r="Y10" s="8" t="s"/>
      <c r="Z10" s="5" t="s"/>
    </row>
    <row r="11" spans="1:26">
      <c r="A11" s="9" t="str">
        <f>=样本清单!A11</f>
        <v>M1_P2_01</v>
      </c>
      <c r="B11" s="9" t="str">
        <f>=样本清单!B11</f>
        <v>M1</v>
      </c>
      <c r="C11" s="9" t="str">
        <f>=样本清单!C11</f>
        <v>ChatGPT Images 2.0</v>
      </c>
      <c r="D11" s="9" t="str">
        <f>=样本清单!D11</f>
        <v>P2</v>
      </c>
      <c r="E11" s="9">
        <f>=样本清单!F11</f>
        <v>1</v>
      </c>
      <c r="F11" s="8">
        <v>1</v>
      </c>
      <c r="G11" s="8">
        <v>0</v>
      </c>
      <c r="H11" s="8">
        <v>0</v>
      </c>
      <c r="I11" s="8">
        <v>0</v>
      </c>
      <c r="J11" s="8">
        <v>2</v>
      </c>
      <c r="K11" s="8">
        <v>0</v>
      </c>
      <c r="L11" s="8">
        <v>2</v>
      </c>
      <c r="M11" s="8">
        <v>2</v>
      </c>
      <c r="N11" s="8" t="s">
        <v>607</v>
      </c>
      <c r="O11" s="8">
        <v>2</v>
      </c>
      <c r="P11" s="8">
        <v>0</v>
      </c>
      <c r="Q11" s="8">
        <v>0</v>
      </c>
      <c r="R11" s="8">
        <v>0</v>
      </c>
      <c r="S11" s="8">
        <v>2</v>
      </c>
      <c r="T11" s="8">
        <v>1</v>
      </c>
      <c r="U11" s="8">
        <v>2</v>
      </c>
      <c r="V11" s="8">
        <v>1</v>
      </c>
      <c r="W11" s="8">
        <v>2</v>
      </c>
      <c r="X11" s="8">
        <v>1</v>
      </c>
      <c r="Y11" s="8" t="s"/>
      <c r="Z11" s="5" t="s"/>
    </row>
    <row r="12" spans="1:26">
      <c r="A12" s="9" t="str">
        <f>=样本清单!A12</f>
        <v>M1_P2_02</v>
      </c>
      <c r="B12" s="9" t="str">
        <f>=样本清单!B12</f>
        <v>M1</v>
      </c>
      <c r="C12" s="9" t="str">
        <f>=样本清单!C12</f>
        <v>ChatGPT Images 2.0</v>
      </c>
      <c r="D12" s="9" t="str">
        <f>=样本清单!D12</f>
        <v>P2</v>
      </c>
      <c r="E12" s="9">
        <f>=样本清单!F12</f>
        <v>2</v>
      </c>
      <c r="F12" s="8">
        <v>1</v>
      </c>
      <c r="G12" s="8">
        <v>0</v>
      </c>
      <c r="H12" s="8">
        <v>1</v>
      </c>
      <c r="I12" s="8">
        <v>0</v>
      </c>
      <c r="J12" s="8">
        <v>0</v>
      </c>
      <c r="K12" s="8">
        <v>1</v>
      </c>
      <c r="L12" s="8">
        <v>2</v>
      </c>
      <c r="M12" s="8">
        <v>1</v>
      </c>
      <c r="N12" s="8" t="s">
        <v>607</v>
      </c>
      <c r="O12" s="8">
        <v>2</v>
      </c>
      <c r="P12" s="8">
        <v>0</v>
      </c>
      <c r="Q12" s="8">
        <v>0</v>
      </c>
      <c r="R12" s="8">
        <v>0</v>
      </c>
      <c r="S12" s="8">
        <v>2</v>
      </c>
      <c r="T12" s="8">
        <v>1</v>
      </c>
      <c r="U12" s="8">
        <v>2</v>
      </c>
      <c r="V12" s="8">
        <v>2</v>
      </c>
      <c r="W12" s="8">
        <v>2</v>
      </c>
      <c r="X12" s="8">
        <v>2</v>
      </c>
      <c r="Y12" s="8" t="s"/>
      <c r="Z12" s="5" t="s"/>
    </row>
    <row r="13" spans="1:26">
      <c r="A13" s="9" t="str">
        <f>=样本清单!A13</f>
        <v>M1_P2_03</v>
      </c>
      <c r="B13" s="9" t="str">
        <f>=样本清单!B13</f>
        <v>M1</v>
      </c>
      <c r="C13" s="9" t="str">
        <f>=样本清单!C13</f>
        <v>ChatGPT Images 2.0</v>
      </c>
      <c r="D13" s="9" t="str">
        <f>=样本清单!D13</f>
        <v>P2</v>
      </c>
      <c r="E13" s="9">
        <f>=样本清单!F13</f>
        <v>3</v>
      </c>
      <c r="F13" s="8">
        <v>1</v>
      </c>
      <c r="G13" s="8">
        <v>0</v>
      </c>
      <c r="H13" s="8">
        <v>1</v>
      </c>
      <c r="I13" s="8">
        <v>1</v>
      </c>
      <c r="J13" s="8">
        <v>1</v>
      </c>
      <c r="K13" s="8">
        <v>0</v>
      </c>
      <c r="L13" s="8">
        <v>2</v>
      </c>
      <c r="M13" s="8">
        <v>2</v>
      </c>
      <c r="N13" s="8" t="s">
        <v>607</v>
      </c>
      <c r="O13" s="8">
        <v>2</v>
      </c>
      <c r="P13" s="8">
        <v>0</v>
      </c>
      <c r="Q13" s="8">
        <v>0</v>
      </c>
      <c r="R13" s="8">
        <v>0</v>
      </c>
      <c r="S13" s="8">
        <v>2</v>
      </c>
      <c r="T13" s="8">
        <v>1</v>
      </c>
      <c r="U13" s="8">
        <v>2</v>
      </c>
      <c r="V13" s="8">
        <v>1</v>
      </c>
      <c r="W13" s="8">
        <v>2</v>
      </c>
      <c r="X13" s="8">
        <v>1</v>
      </c>
      <c r="Y13" s="8" t="s"/>
      <c r="Z13" s="5" t="s"/>
    </row>
    <row r="14" spans="1:26">
      <c r="A14" s="9" t="str">
        <f>=样本清单!A14</f>
        <v>M1_P2_04</v>
      </c>
      <c r="B14" s="9" t="str">
        <f>=样本清单!B14</f>
        <v>M1</v>
      </c>
      <c r="C14" s="9" t="str">
        <f>=样本清单!C14</f>
        <v>ChatGPT Images 2.0</v>
      </c>
      <c r="D14" s="9" t="str">
        <f>=样本清单!D14</f>
        <v>P2</v>
      </c>
      <c r="E14" s="9">
        <f>=样本清单!F14</f>
        <v>4</v>
      </c>
      <c r="F14" s="8">
        <v>1</v>
      </c>
      <c r="G14" s="8">
        <v>2</v>
      </c>
      <c r="H14" s="8">
        <v>1</v>
      </c>
      <c r="I14" s="8">
        <v>1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0</v>
      </c>
      <c r="Q14" s="8">
        <v>0</v>
      </c>
      <c r="R14" s="8">
        <v>0</v>
      </c>
      <c r="S14" s="8">
        <v>2</v>
      </c>
      <c r="T14" s="8">
        <v>1</v>
      </c>
      <c r="U14" s="8">
        <v>1</v>
      </c>
      <c r="V14" s="8">
        <v>1</v>
      </c>
      <c r="W14" s="8">
        <v>2</v>
      </c>
      <c r="X14" s="8">
        <v>1</v>
      </c>
      <c r="Y14" s="8" t="s"/>
      <c r="Z14" s="5" t="s"/>
    </row>
    <row r="15" spans="1:26">
      <c r="A15" s="9" t="str">
        <f>=样本清单!A15</f>
        <v>M1_P2_05</v>
      </c>
      <c r="B15" s="9" t="str">
        <f>=样本清单!B15</f>
        <v>M1</v>
      </c>
      <c r="C15" s="9" t="str">
        <f>=样本清单!C15</f>
        <v>ChatGPT Images 2.0</v>
      </c>
      <c r="D15" s="9" t="str">
        <f>=样本清单!D15</f>
        <v>P2</v>
      </c>
      <c r="E15" s="9">
        <f>=样本清单!F15</f>
        <v>5</v>
      </c>
      <c r="F15" s="8">
        <v>2</v>
      </c>
      <c r="G15" s="8">
        <v>1</v>
      </c>
      <c r="H15" s="8">
        <v>2</v>
      </c>
      <c r="I15" s="8">
        <v>0</v>
      </c>
      <c r="J15" s="8">
        <v>1</v>
      </c>
      <c r="K15" s="8">
        <v>1</v>
      </c>
      <c r="L15" s="8">
        <v>2</v>
      </c>
      <c r="M15" s="8">
        <v>2</v>
      </c>
      <c r="N15" s="8" t="s">
        <v>607</v>
      </c>
      <c r="O15" s="8">
        <v>2</v>
      </c>
      <c r="P15" s="8">
        <v>0</v>
      </c>
      <c r="Q15" s="8">
        <v>0</v>
      </c>
      <c r="R15" s="8">
        <v>0</v>
      </c>
      <c r="S15" s="8">
        <v>2</v>
      </c>
      <c r="T15" s="8">
        <v>1</v>
      </c>
      <c r="U15" s="8">
        <v>1</v>
      </c>
      <c r="V15" s="8">
        <v>1</v>
      </c>
      <c r="W15" s="8">
        <v>2</v>
      </c>
      <c r="X15" s="8">
        <v>2</v>
      </c>
      <c r="Y15" s="8" t="s"/>
      <c r="Z15" s="5" t="s"/>
    </row>
    <row r="16" spans="1:26">
      <c r="A16" s="9" t="str">
        <f>=样本清单!A16</f>
        <v>M1_P2_06</v>
      </c>
      <c r="B16" s="9" t="str">
        <f>=样本清单!B16</f>
        <v>M1</v>
      </c>
      <c r="C16" s="9" t="str">
        <f>=样本清单!C16</f>
        <v>ChatGPT Images 2.0</v>
      </c>
      <c r="D16" s="9" t="str">
        <f>=样本清单!D16</f>
        <v>P2</v>
      </c>
      <c r="E16" s="9">
        <f>=样本清单!F16</f>
        <v>6</v>
      </c>
      <c r="F16" s="8">
        <v>1</v>
      </c>
      <c r="G16" s="8">
        <v>0</v>
      </c>
      <c r="H16" s="8">
        <v>0</v>
      </c>
      <c r="I16" s="8">
        <v>0</v>
      </c>
      <c r="J16" s="8">
        <v>2</v>
      </c>
      <c r="K16" s="8">
        <v>0</v>
      </c>
      <c r="L16" s="8">
        <v>1</v>
      </c>
      <c r="M16" s="8">
        <v>2</v>
      </c>
      <c r="N16" s="8">
        <v>2</v>
      </c>
      <c r="O16" s="8">
        <v>2</v>
      </c>
      <c r="P16" s="8">
        <v>0</v>
      </c>
      <c r="Q16" s="8">
        <v>0</v>
      </c>
      <c r="R16" s="8">
        <v>0</v>
      </c>
      <c r="S16" s="8">
        <v>1</v>
      </c>
      <c r="T16" s="8">
        <v>1</v>
      </c>
      <c r="U16" s="8">
        <v>1</v>
      </c>
      <c r="V16" s="8">
        <v>1</v>
      </c>
      <c r="W16" s="8">
        <v>2</v>
      </c>
      <c r="X16" s="8">
        <v>1</v>
      </c>
      <c r="Y16" s="8" t="s"/>
      <c r="Z16" s="5" t="s"/>
    </row>
    <row r="17" spans="1:26">
      <c r="A17" s="9" t="str">
        <f>=样本清单!A17</f>
        <v>M1_P2_07</v>
      </c>
      <c r="B17" s="9" t="str">
        <f>=样本清单!B17</f>
        <v>M1</v>
      </c>
      <c r="C17" s="9" t="str">
        <f>=样本清单!C17</f>
        <v>ChatGPT Images 2.0</v>
      </c>
      <c r="D17" s="9" t="str">
        <f>=样本清单!D17</f>
        <v>P2</v>
      </c>
      <c r="E17" s="9">
        <f>=样本清单!F17</f>
        <v>7</v>
      </c>
      <c r="F17" s="8">
        <v>1</v>
      </c>
      <c r="G17" s="8">
        <v>0</v>
      </c>
      <c r="H17" s="8">
        <v>0</v>
      </c>
      <c r="I17" s="8">
        <v>0</v>
      </c>
      <c r="J17" s="8">
        <v>2</v>
      </c>
      <c r="K17" s="8">
        <v>2</v>
      </c>
      <c r="L17" s="8">
        <v>2</v>
      </c>
      <c r="M17" s="8">
        <v>2</v>
      </c>
      <c r="N17" s="8">
        <v>2</v>
      </c>
      <c r="O17" s="8">
        <v>2</v>
      </c>
      <c r="P17" s="8">
        <v>0</v>
      </c>
      <c r="Q17" s="8">
        <v>0</v>
      </c>
      <c r="R17" s="8">
        <v>0</v>
      </c>
      <c r="S17" s="8">
        <v>2</v>
      </c>
      <c r="T17" s="8">
        <v>1</v>
      </c>
      <c r="U17" s="8">
        <v>2</v>
      </c>
      <c r="V17" s="8">
        <v>1</v>
      </c>
      <c r="W17" s="8">
        <v>2</v>
      </c>
      <c r="X17" s="8">
        <v>1</v>
      </c>
      <c r="Y17" s="8" t="s"/>
      <c r="Z17" s="5" t="s"/>
    </row>
    <row r="18" spans="1:26">
      <c r="A18" s="9" t="str">
        <f>=样本清单!A18</f>
        <v>M1_P2_08</v>
      </c>
      <c r="B18" s="9" t="str">
        <f>=样本清单!B18</f>
        <v>M1</v>
      </c>
      <c r="C18" s="9" t="str">
        <f>=样本清单!C18</f>
        <v>ChatGPT Images 2.0</v>
      </c>
      <c r="D18" s="9" t="str">
        <f>=样本清单!D18</f>
        <v>P2</v>
      </c>
      <c r="E18" s="9">
        <f>=样本清单!F18</f>
        <v>8</v>
      </c>
      <c r="F18" s="8">
        <v>2</v>
      </c>
      <c r="G18" s="8">
        <v>0</v>
      </c>
      <c r="H18" s="8">
        <v>2</v>
      </c>
      <c r="I18" s="8">
        <v>0</v>
      </c>
      <c r="J18" s="8">
        <v>0</v>
      </c>
      <c r="K18" s="8">
        <v>1</v>
      </c>
      <c r="L18" s="8">
        <v>1</v>
      </c>
      <c r="M18" s="8">
        <v>2</v>
      </c>
      <c r="N18" s="8" t="s">
        <v>607</v>
      </c>
      <c r="O18" s="8">
        <v>2</v>
      </c>
      <c r="P18" s="8">
        <v>0</v>
      </c>
      <c r="Q18" s="8">
        <v>0</v>
      </c>
      <c r="R18" s="8">
        <v>0</v>
      </c>
      <c r="S18" s="8">
        <v>2</v>
      </c>
      <c r="T18" s="8">
        <v>2</v>
      </c>
      <c r="U18" s="8">
        <v>1</v>
      </c>
      <c r="V18" s="8">
        <v>1</v>
      </c>
      <c r="W18" s="8">
        <v>2</v>
      </c>
      <c r="X18" s="8">
        <v>2</v>
      </c>
      <c r="Y18" s="8" t="s"/>
      <c r="Z18" s="5" t="s"/>
    </row>
    <row r="19" spans="1:26">
      <c r="A19" s="9" t="str">
        <f>=样本清单!A19</f>
        <v>M1_P2_09</v>
      </c>
      <c r="B19" s="9" t="str">
        <f>=样本清单!B19</f>
        <v>M1</v>
      </c>
      <c r="C19" s="9" t="str">
        <f>=样本清单!C19</f>
        <v>ChatGPT Images 2.0</v>
      </c>
      <c r="D19" s="9" t="str">
        <f>=样本清单!D19</f>
        <v>P2</v>
      </c>
      <c r="E19" s="9">
        <f>=样本清单!F19</f>
        <v>9</v>
      </c>
      <c r="F19" s="8">
        <v>1</v>
      </c>
      <c r="G19" s="8">
        <v>1</v>
      </c>
      <c r="H19" s="8">
        <v>1</v>
      </c>
      <c r="I19" s="8">
        <v>1</v>
      </c>
      <c r="J19" s="8">
        <v>2</v>
      </c>
      <c r="K19" s="8">
        <v>0</v>
      </c>
      <c r="L19" s="8">
        <v>2</v>
      </c>
      <c r="M19" s="8">
        <v>2</v>
      </c>
      <c r="N19" s="8" t="s">
        <v>607</v>
      </c>
      <c r="O19" s="8">
        <v>2</v>
      </c>
      <c r="P19" s="8">
        <v>0</v>
      </c>
      <c r="Q19" s="8">
        <v>0</v>
      </c>
      <c r="R19" s="8">
        <v>0</v>
      </c>
      <c r="S19" s="8">
        <v>2</v>
      </c>
      <c r="T19" s="8">
        <v>2</v>
      </c>
      <c r="U19" s="8">
        <v>1</v>
      </c>
      <c r="V19" s="8">
        <v>1</v>
      </c>
      <c r="W19" s="8">
        <v>2</v>
      </c>
      <c r="X19" s="8">
        <v>2</v>
      </c>
      <c r="Y19" s="8" t="s"/>
      <c r="Z19" s="5" t="s"/>
    </row>
    <row r="20" spans="1:26">
      <c r="A20" s="9" t="str">
        <f>=样本清单!A20</f>
        <v>M1_P3_01</v>
      </c>
      <c r="B20" s="9" t="str">
        <f>=样本清单!B20</f>
        <v>M1</v>
      </c>
      <c r="C20" s="9" t="str">
        <f>=样本清单!C20</f>
        <v>ChatGPT Images 2.0</v>
      </c>
      <c r="D20" s="9" t="str">
        <f>=样本清单!D20</f>
        <v>P3</v>
      </c>
      <c r="E20" s="9">
        <f>=样本清单!F20</f>
        <v>1</v>
      </c>
      <c r="F20" s="8">
        <v>0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2</v>
      </c>
      <c r="M20" s="8">
        <v>2</v>
      </c>
      <c r="N20" s="8">
        <v>1</v>
      </c>
      <c r="O20" s="8">
        <v>2</v>
      </c>
      <c r="P20" s="8">
        <v>0</v>
      </c>
      <c r="Q20" s="8">
        <v>0</v>
      </c>
      <c r="R20" s="8">
        <v>0</v>
      </c>
      <c r="S20" s="8">
        <v>2</v>
      </c>
      <c r="T20" s="8">
        <v>1</v>
      </c>
      <c r="U20" s="8">
        <v>2</v>
      </c>
      <c r="V20" s="8">
        <v>1</v>
      </c>
      <c r="W20" s="8">
        <v>2</v>
      </c>
      <c r="X20" s="8">
        <v>1</v>
      </c>
      <c r="Y20" s="8" t="s"/>
      <c r="Z20" s="5" t="s"/>
    </row>
    <row r="21" spans="1:26">
      <c r="A21" s="9" t="str">
        <f>=样本清单!A21</f>
        <v>M1_P3_02</v>
      </c>
      <c r="B21" s="9" t="str">
        <f>=样本清单!B21</f>
        <v>M1</v>
      </c>
      <c r="C21" s="9" t="str">
        <f>=样本清单!C21</f>
        <v>ChatGPT Images 2.0</v>
      </c>
      <c r="D21" s="9" t="str">
        <f>=样本清单!D21</f>
        <v>P3</v>
      </c>
      <c r="E21" s="9">
        <f>=样本清单!F21</f>
        <v>2</v>
      </c>
      <c r="F21" s="8">
        <v>1</v>
      </c>
      <c r="G21" s="8">
        <v>1</v>
      </c>
      <c r="H21" s="8">
        <v>2</v>
      </c>
      <c r="I21" s="8">
        <v>1</v>
      </c>
      <c r="J21" s="8">
        <v>2</v>
      </c>
      <c r="K21" s="8">
        <v>2</v>
      </c>
      <c r="L21" s="8">
        <v>2</v>
      </c>
      <c r="M21" s="8">
        <v>2</v>
      </c>
      <c r="N21" s="8">
        <v>1</v>
      </c>
      <c r="O21" s="8">
        <v>2</v>
      </c>
      <c r="P21" s="8">
        <v>0</v>
      </c>
      <c r="Q21" s="8">
        <v>0</v>
      </c>
      <c r="R21" s="8">
        <v>0</v>
      </c>
      <c r="S21" s="8">
        <v>2</v>
      </c>
      <c r="T21" s="8">
        <v>1</v>
      </c>
      <c r="U21" s="8">
        <v>1</v>
      </c>
      <c r="V21" s="8">
        <v>1</v>
      </c>
      <c r="W21" s="8">
        <v>2</v>
      </c>
      <c r="X21" s="8">
        <v>1</v>
      </c>
      <c r="Y21" s="8" t="s"/>
      <c r="Z21" s="5" t="s"/>
    </row>
    <row r="22" spans="1:26">
      <c r="A22" s="9" t="str">
        <f>=样本清单!A22</f>
        <v>M1_P3_03</v>
      </c>
      <c r="B22" s="9" t="str">
        <f>=样本清单!B22</f>
        <v>M1</v>
      </c>
      <c r="C22" s="9" t="str">
        <f>=样本清单!C22</f>
        <v>ChatGPT Images 2.0</v>
      </c>
      <c r="D22" s="9" t="str">
        <f>=样本清单!D22</f>
        <v>P3</v>
      </c>
      <c r="E22" s="9">
        <f>=样本清单!F22</f>
        <v>3</v>
      </c>
      <c r="F22" s="8">
        <v>1</v>
      </c>
      <c r="G22" s="8">
        <v>2</v>
      </c>
      <c r="H22" s="8">
        <v>2</v>
      </c>
      <c r="I22" s="8">
        <v>1</v>
      </c>
      <c r="J22" s="8">
        <v>2</v>
      </c>
      <c r="K22" s="8">
        <v>0</v>
      </c>
      <c r="L22" s="8">
        <v>2</v>
      </c>
      <c r="M22" s="8">
        <v>2</v>
      </c>
      <c r="N22" s="8">
        <v>1</v>
      </c>
      <c r="O22" s="8">
        <v>2</v>
      </c>
      <c r="P22" s="8">
        <v>0</v>
      </c>
      <c r="Q22" s="8">
        <v>0</v>
      </c>
      <c r="R22" s="8">
        <v>0</v>
      </c>
      <c r="S22" s="8">
        <v>2</v>
      </c>
      <c r="T22" s="8">
        <v>1</v>
      </c>
      <c r="U22" s="8">
        <v>2</v>
      </c>
      <c r="V22" s="8">
        <v>1</v>
      </c>
      <c r="W22" s="8">
        <v>2</v>
      </c>
      <c r="X22" s="8">
        <v>1</v>
      </c>
      <c r="Y22" s="8" t="s"/>
      <c r="Z22" s="5" t="s"/>
    </row>
    <row r="23" spans="1:26">
      <c r="A23" s="9" t="str">
        <f>=样本清单!A23</f>
        <v>M1_P3_04</v>
      </c>
      <c r="B23" s="9" t="str">
        <f>=样本清单!B23</f>
        <v>M1</v>
      </c>
      <c r="C23" s="9" t="str">
        <f>=样本清单!C23</f>
        <v>ChatGPT Images 2.0</v>
      </c>
      <c r="D23" s="9" t="str">
        <f>=样本清单!D23</f>
        <v>P3</v>
      </c>
      <c r="E23" s="9">
        <f>=样本清单!F23</f>
        <v>4</v>
      </c>
      <c r="F23" s="8">
        <v>2</v>
      </c>
      <c r="G23" s="8">
        <v>2</v>
      </c>
      <c r="H23" s="8">
        <v>2</v>
      </c>
      <c r="I23" s="8">
        <v>1</v>
      </c>
      <c r="J23" s="8">
        <v>2</v>
      </c>
      <c r="K23" s="8">
        <v>1</v>
      </c>
      <c r="L23" s="8">
        <v>2</v>
      </c>
      <c r="M23" s="8">
        <v>2</v>
      </c>
      <c r="N23" s="8">
        <v>1</v>
      </c>
      <c r="O23" s="8">
        <v>2</v>
      </c>
      <c r="P23" s="8">
        <v>0</v>
      </c>
      <c r="Q23" s="8">
        <v>0</v>
      </c>
      <c r="R23" s="8">
        <v>0</v>
      </c>
      <c r="S23" s="8">
        <v>2</v>
      </c>
      <c r="T23" s="8">
        <v>2</v>
      </c>
      <c r="U23" s="8">
        <v>1</v>
      </c>
      <c r="V23" s="8">
        <v>1</v>
      </c>
      <c r="W23" s="8">
        <v>2</v>
      </c>
      <c r="X23" s="8">
        <v>1</v>
      </c>
      <c r="Y23" s="8" t="s"/>
      <c r="Z23" s="5" t="s"/>
    </row>
    <row r="24" spans="1:26">
      <c r="A24" s="9" t="str">
        <f>=样本清单!A24</f>
        <v>M1_P3_05</v>
      </c>
      <c r="B24" s="9" t="str">
        <f>=样本清单!B24</f>
        <v>M1</v>
      </c>
      <c r="C24" s="9" t="str">
        <f>=样本清单!C24</f>
        <v>ChatGPT Images 2.0</v>
      </c>
      <c r="D24" s="9" t="str">
        <f>=样本清单!D24</f>
        <v>P3</v>
      </c>
      <c r="E24" s="9">
        <f>=样本清单!F24</f>
        <v>5</v>
      </c>
      <c r="F24" s="8">
        <v>1</v>
      </c>
      <c r="G24" s="8">
        <v>1</v>
      </c>
      <c r="H24" s="8">
        <v>2</v>
      </c>
      <c r="I24" s="8">
        <v>2</v>
      </c>
      <c r="J24" s="8">
        <v>2</v>
      </c>
      <c r="K24" s="8">
        <v>2</v>
      </c>
      <c r="L24" s="8">
        <v>2</v>
      </c>
      <c r="M24" s="8">
        <v>2</v>
      </c>
      <c r="N24" s="8">
        <v>0</v>
      </c>
      <c r="O24" s="8">
        <v>1</v>
      </c>
      <c r="P24" s="8">
        <v>0</v>
      </c>
      <c r="Q24" s="8">
        <v>0</v>
      </c>
      <c r="R24" s="8">
        <v>1</v>
      </c>
      <c r="S24" s="8">
        <v>2</v>
      </c>
      <c r="T24" s="8">
        <v>2</v>
      </c>
      <c r="U24" s="8">
        <v>2</v>
      </c>
      <c r="V24" s="8">
        <v>1</v>
      </c>
      <c r="W24" s="8">
        <v>2</v>
      </c>
      <c r="X24" s="8">
        <v>1</v>
      </c>
      <c r="Y24" s="8" t="s"/>
      <c r="Z24" s="5" t="s"/>
    </row>
    <row r="25" spans="1:26">
      <c r="A25" s="9" t="str">
        <f>=样本清单!A25</f>
        <v>M1_P3_06</v>
      </c>
      <c r="B25" s="9" t="str">
        <f>=样本清单!B25</f>
        <v>M1</v>
      </c>
      <c r="C25" s="9" t="str">
        <f>=样本清单!C25</f>
        <v>ChatGPT Images 2.0</v>
      </c>
      <c r="D25" s="9" t="str">
        <f>=样本清单!D25</f>
        <v>P3</v>
      </c>
      <c r="E25" s="9">
        <f>=样本清单!F25</f>
        <v>6</v>
      </c>
      <c r="F25" s="8">
        <v>2</v>
      </c>
      <c r="G25" s="8">
        <v>2</v>
      </c>
      <c r="H25" s="8">
        <v>2</v>
      </c>
      <c r="I25" s="8">
        <v>1</v>
      </c>
      <c r="J25" s="8">
        <v>1</v>
      </c>
      <c r="K25" s="8">
        <v>1</v>
      </c>
      <c r="L25" s="8">
        <v>2</v>
      </c>
      <c r="M25" s="8">
        <v>2</v>
      </c>
      <c r="N25" s="8">
        <v>1</v>
      </c>
      <c r="O25" s="8">
        <v>2</v>
      </c>
      <c r="P25" s="8">
        <v>0</v>
      </c>
      <c r="Q25" s="8">
        <v>0</v>
      </c>
      <c r="R25" s="8">
        <v>0</v>
      </c>
      <c r="S25" s="8">
        <v>2</v>
      </c>
      <c r="T25" s="8">
        <v>2</v>
      </c>
      <c r="U25" s="8">
        <v>1</v>
      </c>
      <c r="V25" s="8">
        <v>2</v>
      </c>
      <c r="W25" s="8">
        <v>2</v>
      </c>
      <c r="X25" s="8">
        <v>2</v>
      </c>
      <c r="Y25" s="8" t="s"/>
      <c r="Z25" s="5" t="s"/>
    </row>
    <row r="26" spans="1:26">
      <c r="A26" s="9" t="str">
        <f>=样本清单!A26</f>
        <v>M1_P3_07</v>
      </c>
      <c r="B26" s="9" t="str">
        <f>=样本清单!B26</f>
        <v>M1</v>
      </c>
      <c r="C26" s="9" t="str">
        <f>=样本清单!C26</f>
        <v>ChatGPT Images 2.0</v>
      </c>
      <c r="D26" s="9" t="str">
        <f>=样本清单!D26</f>
        <v>P3</v>
      </c>
      <c r="E26" s="9">
        <f>=样本清单!F26</f>
        <v>7</v>
      </c>
      <c r="F26" s="8">
        <v>1</v>
      </c>
      <c r="G26" s="8">
        <v>2</v>
      </c>
      <c r="H26" s="8">
        <v>2</v>
      </c>
      <c r="I26" s="8">
        <v>1</v>
      </c>
      <c r="J26" s="8">
        <v>1</v>
      </c>
      <c r="K26" s="8">
        <v>0</v>
      </c>
      <c r="L26" s="8">
        <v>1</v>
      </c>
      <c r="M26" s="8">
        <v>2</v>
      </c>
      <c r="N26" s="8">
        <v>0</v>
      </c>
      <c r="O26" s="8">
        <v>2</v>
      </c>
      <c r="P26" s="8">
        <v>0</v>
      </c>
      <c r="Q26" s="8">
        <v>0</v>
      </c>
      <c r="R26" s="8">
        <v>0</v>
      </c>
      <c r="S26" s="8">
        <v>1</v>
      </c>
      <c r="T26" s="8">
        <v>1</v>
      </c>
      <c r="U26" s="8">
        <v>2</v>
      </c>
      <c r="V26" s="8">
        <v>1</v>
      </c>
      <c r="W26" s="8">
        <v>2</v>
      </c>
      <c r="X26" s="8">
        <v>1</v>
      </c>
      <c r="Y26" s="8" t="s"/>
      <c r="Z26" s="5" t="s"/>
    </row>
    <row r="27" spans="1:26">
      <c r="A27" s="9" t="str">
        <f>=样本清单!A27</f>
        <v>M1_P3_08</v>
      </c>
      <c r="B27" s="9" t="str">
        <f>=样本清单!B27</f>
        <v>M1</v>
      </c>
      <c r="C27" s="9" t="str">
        <f>=样本清单!C27</f>
        <v>ChatGPT Images 2.0</v>
      </c>
      <c r="D27" s="9" t="str">
        <f>=样本清单!D27</f>
        <v>P3</v>
      </c>
      <c r="E27" s="9">
        <f>=样本清单!F27</f>
        <v>8</v>
      </c>
      <c r="F27" s="8">
        <v>1</v>
      </c>
      <c r="G27" s="8">
        <v>1</v>
      </c>
      <c r="H27" s="8">
        <v>2</v>
      </c>
      <c r="I27" s="8">
        <v>1</v>
      </c>
      <c r="J27" s="8">
        <v>2</v>
      </c>
      <c r="K27" s="8">
        <v>2</v>
      </c>
      <c r="L27" s="8">
        <v>2</v>
      </c>
      <c r="M27" s="8">
        <v>2</v>
      </c>
      <c r="N27" s="8">
        <v>2</v>
      </c>
      <c r="O27" s="8">
        <v>2</v>
      </c>
      <c r="P27" s="8">
        <v>0</v>
      </c>
      <c r="Q27" s="8">
        <v>0</v>
      </c>
      <c r="R27" s="8">
        <v>0</v>
      </c>
      <c r="S27" s="8">
        <v>2</v>
      </c>
      <c r="T27" s="8">
        <v>1</v>
      </c>
      <c r="U27" s="8">
        <v>2</v>
      </c>
      <c r="V27" s="8">
        <v>1</v>
      </c>
      <c r="W27" s="8">
        <v>2</v>
      </c>
      <c r="X27" s="8">
        <v>2</v>
      </c>
      <c r="Y27" s="8" t="s"/>
      <c r="Z27" s="5" t="s"/>
    </row>
    <row r="28" spans="1:26">
      <c r="A28" s="9" t="str">
        <f>=样本清单!A28</f>
        <v>M1_P3_09</v>
      </c>
      <c r="B28" s="9" t="str">
        <f>=样本清单!B28</f>
        <v>M1</v>
      </c>
      <c r="C28" s="9" t="str">
        <f>=样本清单!C28</f>
        <v>ChatGPT Images 2.0</v>
      </c>
      <c r="D28" s="9" t="str">
        <f>=样本清单!D28</f>
        <v>P3</v>
      </c>
      <c r="E28" s="9">
        <f>=样本清单!F28</f>
        <v>9</v>
      </c>
      <c r="F28" s="8">
        <v>2</v>
      </c>
      <c r="G28" s="8">
        <v>2</v>
      </c>
      <c r="H28" s="8">
        <v>2</v>
      </c>
      <c r="I28" s="8">
        <v>1</v>
      </c>
      <c r="J28" s="8">
        <v>2</v>
      </c>
      <c r="K28" s="8">
        <v>0</v>
      </c>
      <c r="L28" s="8">
        <v>2</v>
      </c>
      <c r="M28" s="8">
        <v>2</v>
      </c>
      <c r="N28" s="8">
        <v>0</v>
      </c>
      <c r="O28" s="8">
        <v>2</v>
      </c>
      <c r="P28" s="8">
        <v>0</v>
      </c>
      <c r="Q28" s="8">
        <v>0</v>
      </c>
      <c r="R28" s="8">
        <v>0</v>
      </c>
      <c r="S28" s="8">
        <v>2</v>
      </c>
      <c r="T28" s="8">
        <v>1</v>
      </c>
      <c r="U28" s="8">
        <v>1</v>
      </c>
      <c r="V28" s="8">
        <v>1</v>
      </c>
      <c r="W28" s="8">
        <v>2</v>
      </c>
      <c r="X28" s="8">
        <v>2</v>
      </c>
      <c r="Y28" s="8" t="s"/>
      <c r="Z28" s="5" t="s"/>
    </row>
    <row r="29" spans="1:26">
      <c r="A29" s="9" t="str">
        <f>=样本清单!A29</f>
        <v>M2_P1_01</v>
      </c>
      <c r="B29" s="9" t="str">
        <f>=样本清单!B29</f>
        <v>M2</v>
      </c>
      <c r="C29" s="9" t="str">
        <f>=样本清单!C29</f>
        <v>gemini-3.1-flash-image</v>
      </c>
      <c r="D29" s="9" t="str">
        <f>=样本清单!D29</f>
        <v>P1</v>
      </c>
      <c r="E29" s="9">
        <f>=样本清单!F29</f>
        <v>1</v>
      </c>
      <c r="F29" s="8">
        <v>1</v>
      </c>
      <c r="G29" s="8">
        <v>0</v>
      </c>
      <c r="H29" s="8">
        <v>1</v>
      </c>
      <c r="I29" s="8">
        <v>0</v>
      </c>
      <c r="J29" s="8">
        <v>1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1</v>
      </c>
      <c r="W29" s="8">
        <v>0</v>
      </c>
      <c r="X29" s="8">
        <v>0</v>
      </c>
      <c r="Y29" s="8" t="s"/>
      <c r="Z29" s="5" t="s"/>
    </row>
    <row r="30" spans="1:26">
      <c r="A30" s="9" t="str">
        <f>=样本清单!A30</f>
        <v>M2_P1_02</v>
      </c>
      <c r="B30" s="9" t="str">
        <f>=样本清单!B30</f>
        <v>M2</v>
      </c>
      <c r="C30" s="9" t="str">
        <f>=样本清单!C30</f>
        <v>gemini-3.1-flash-image</v>
      </c>
      <c r="D30" s="9" t="str">
        <f>=样本清单!D30</f>
        <v>P1</v>
      </c>
      <c r="E30" s="9">
        <f>=样本清单!F30</f>
        <v>2</v>
      </c>
      <c r="F30" s="8">
        <v>1</v>
      </c>
      <c r="G30" s="8">
        <v>0</v>
      </c>
      <c r="H30" s="8">
        <v>2</v>
      </c>
      <c r="I30" s="8">
        <v>1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2</v>
      </c>
      <c r="W30" s="8">
        <v>1</v>
      </c>
      <c r="X30" s="8">
        <v>1</v>
      </c>
      <c r="Y30" s="8" t="s"/>
      <c r="Z30" s="5" t="s"/>
    </row>
    <row r="31" spans="1:26">
      <c r="A31" s="9" t="str">
        <f>=样本清单!A31</f>
        <v>M2_P1_03</v>
      </c>
      <c r="B31" s="9" t="str">
        <f>=样本清单!B31</f>
        <v>M2</v>
      </c>
      <c r="C31" s="9" t="str">
        <f>=样本清单!C31</f>
        <v>gemini-3.1-flash-image</v>
      </c>
      <c r="D31" s="9" t="str">
        <f>=样本清单!D31</f>
        <v>P1</v>
      </c>
      <c r="E31" s="9">
        <f>=样本清单!F31</f>
        <v>3</v>
      </c>
      <c r="F31" s="8">
        <v>2</v>
      </c>
      <c r="G31" s="8">
        <v>0</v>
      </c>
      <c r="H31" s="8">
        <v>1</v>
      </c>
      <c r="I31" s="8">
        <v>0</v>
      </c>
      <c r="J31" s="8">
        <v>1</v>
      </c>
      <c r="K31" s="8">
        <v>1</v>
      </c>
      <c r="L31" s="8">
        <v>2</v>
      </c>
      <c r="M31" s="8">
        <v>1</v>
      </c>
      <c r="N31" s="8" t="s">
        <v>607</v>
      </c>
      <c r="O31" s="8">
        <v>1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1</v>
      </c>
      <c r="W31" s="8">
        <v>1</v>
      </c>
      <c r="X31" s="8">
        <v>1</v>
      </c>
      <c r="Y31" s="8" t="s"/>
      <c r="Z31" s="5" t="s"/>
    </row>
    <row r="32" spans="1:26">
      <c r="A32" s="9" t="str">
        <f>=样本清单!A32</f>
        <v>M2_P1_04</v>
      </c>
      <c r="B32" s="9" t="str">
        <f>=样本清单!B32</f>
        <v>M2</v>
      </c>
      <c r="C32" s="9" t="str">
        <f>=样本清单!C32</f>
        <v>gemini-3.1-flash-image</v>
      </c>
      <c r="D32" s="9" t="str">
        <f>=样本清单!D32</f>
        <v>P1</v>
      </c>
      <c r="E32" s="9">
        <f>=样本清单!F32</f>
        <v>4</v>
      </c>
      <c r="F32" s="8">
        <v>2</v>
      </c>
      <c r="G32" s="8">
        <v>2</v>
      </c>
      <c r="H32" s="8">
        <v>2</v>
      </c>
      <c r="I32" s="8">
        <v>0</v>
      </c>
      <c r="J32" s="8">
        <v>0</v>
      </c>
      <c r="K32" s="8">
        <v>0</v>
      </c>
      <c r="L32" s="8">
        <v>2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1</v>
      </c>
      <c r="V32" s="8">
        <v>1</v>
      </c>
      <c r="W32" s="8">
        <v>2</v>
      </c>
      <c r="X32" s="8">
        <v>2</v>
      </c>
      <c r="Y32" s="8" t="s"/>
      <c r="Z32" s="5" t="s"/>
    </row>
    <row r="33" spans="1:26">
      <c r="A33" s="9" t="str">
        <f>=样本清单!A33</f>
        <v>M2_P1_05</v>
      </c>
      <c r="B33" s="9" t="str">
        <f>=样本清单!B33</f>
        <v>M2</v>
      </c>
      <c r="C33" s="9" t="str">
        <f>=样本清单!C33</f>
        <v>gemini-3.1-flash-image</v>
      </c>
      <c r="D33" s="9" t="str">
        <f>=样本清单!D33</f>
        <v>P1</v>
      </c>
      <c r="E33" s="9">
        <f>=样本清单!F33</f>
        <v>5</v>
      </c>
      <c r="F33" s="8">
        <v>1</v>
      </c>
      <c r="G33" s="8">
        <v>1</v>
      </c>
      <c r="H33" s="8">
        <v>2</v>
      </c>
      <c r="I33" s="8">
        <v>0</v>
      </c>
      <c r="J33" s="8">
        <v>2</v>
      </c>
      <c r="K33" s="8">
        <v>0</v>
      </c>
      <c r="L33" s="8">
        <v>1</v>
      </c>
      <c r="M33" s="8">
        <v>2</v>
      </c>
      <c r="N33" s="8">
        <v>1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</v>
      </c>
      <c r="W33" s="8">
        <v>1</v>
      </c>
      <c r="X33" s="8">
        <v>2</v>
      </c>
      <c r="Y33" s="8" t="s"/>
      <c r="Z33" s="5" t="s"/>
    </row>
    <row r="34" spans="1:26">
      <c r="A34" s="9" t="str">
        <f>=样本清单!A34</f>
        <v>M2_P1_06</v>
      </c>
      <c r="B34" s="9" t="str">
        <f>=样本清单!B34</f>
        <v>M2</v>
      </c>
      <c r="C34" s="9" t="str">
        <f>=样本清单!C34</f>
        <v>gemini-3.1-flash-image</v>
      </c>
      <c r="D34" s="9" t="str">
        <f>=样本清单!D34</f>
        <v>P1</v>
      </c>
      <c r="E34" s="9">
        <f>=样本清单!F34</f>
        <v>6</v>
      </c>
      <c r="F34" s="8">
        <v>1</v>
      </c>
      <c r="G34" s="8">
        <v>0</v>
      </c>
      <c r="H34" s="8">
        <v>2</v>
      </c>
      <c r="I34" s="8">
        <v>0</v>
      </c>
      <c r="J34" s="8">
        <v>2</v>
      </c>
      <c r="K34" s="8">
        <v>0</v>
      </c>
      <c r="L34" s="8">
        <v>0</v>
      </c>
      <c r="M34" s="8">
        <v>0</v>
      </c>
      <c r="N34" s="8" t="s">
        <v>607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1</v>
      </c>
      <c r="W34" s="8">
        <v>2</v>
      </c>
      <c r="X34" s="8">
        <v>1</v>
      </c>
      <c r="Y34" s="8" t="s"/>
      <c r="Z34" s="5" t="s"/>
    </row>
    <row r="35" spans="1:26">
      <c r="A35" s="9" t="str">
        <f>=样本清单!A35</f>
        <v>M2_P1_07</v>
      </c>
      <c r="B35" s="9" t="str">
        <f>=样本清单!B35</f>
        <v>M2</v>
      </c>
      <c r="C35" s="9" t="str">
        <f>=样本清单!C35</f>
        <v>gemini-3.1-flash-image</v>
      </c>
      <c r="D35" s="9" t="str">
        <f>=样本清单!D35</f>
        <v>P1</v>
      </c>
      <c r="E35" s="9">
        <f>=样本清单!F35</f>
        <v>7</v>
      </c>
      <c r="F35" s="8">
        <v>2</v>
      </c>
      <c r="G35" s="8">
        <v>2</v>
      </c>
      <c r="H35" s="8">
        <v>1</v>
      </c>
      <c r="I35" s="8">
        <v>1</v>
      </c>
      <c r="J35" s="8">
        <v>2</v>
      </c>
      <c r="K35" s="8">
        <v>0</v>
      </c>
      <c r="L35" s="8">
        <v>0</v>
      </c>
      <c r="M35" s="8">
        <v>0</v>
      </c>
      <c r="N35" s="8" t="s">
        <v>607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1</v>
      </c>
      <c r="V35" s="8">
        <v>1</v>
      </c>
      <c r="W35" s="8">
        <v>2</v>
      </c>
      <c r="X35" s="8">
        <v>1</v>
      </c>
      <c r="Y35" s="8" t="s"/>
      <c r="Z35" s="5" t="s"/>
    </row>
    <row r="36" spans="1:26">
      <c r="A36" s="9" t="str">
        <f>=样本清单!A36</f>
        <v>M2_P1_08</v>
      </c>
      <c r="B36" s="9" t="str">
        <f>=样本清单!B36</f>
        <v>M2</v>
      </c>
      <c r="C36" s="9" t="str">
        <f>=样本清单!C36</f>
        <v>gemini-3.1-flash-image</v>
      </c>
      <c r="D36" s="9" t="str">
        <f>=样本清单!D36</f>
        <v>P1</v>
      </c>
      <c r="E36" s="9">
        <f>=样本清单!F36</f>
        <v>8</v>
      </c>
      <c r="F36" s="8">
        <v>2</v>
      </c>
      <c r="G36" s="8">
        <v>0</v>
      </c>
      <c r="H36" s="8">
        <v>1</v>
      </c>
      <c r="I36" s="8">
        <v>1</v>
      </c>
      <c r="J36" s="8">
        <v>2</v>
      </c>
      <c r="K36" s="8">
        <v>0</v>
      </c>
      <c r="L36" s="8">
        <v>1</v>
      </c>
      <c r="M36" s="8">
        <v>1</v>
      </c>
      <c r="N36" s="8">
        <v>1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1</v>
      </c>
      <c r="W36" s="8">
        <v>1</v>
      </c>
      <c r="X36" s="8">
        <v>1</v>
      </c>
      <c r="Y36" s="8" t="s"/>
      <c r="Z36" s="5" t="s"/>
    </row>
    <row r="37" spans="1:26">
      <c r="A37" s="9" t="str">
        <f>=样本清单!A37</f>
        <v>M2_P1_09</v>
      </c>
      <c r="B37" s="9" t="str">
        <f>=样本清单!B37</f>
        <v>M2</v>
      </c>
      <c r="C37" s="9" t="str">
        <f>=样本清单!C37</f>
        <v>gemini-3.1-flash-image</v>
      </c>
      <c r="D37" s="9" t="str">
        <f>=样本清单!D37</f>
        <v>P1</v>
      </c>
      <c r="E37" s="9">
        <f>=样本清单!F37</f>
        <v>9</v>
      </c>
      <c r="F37" s="8">
        <v>1</v>
      </c>
      <c r="G37" s="8">
        <v>2</v>
      </c>
      <c r="H37" s="8">
        <v>2</v>
      </c>
      <c r="I37" s="8">
        <v>1</v>
      </c>
      <c r="J37" s="8">
        <v>2</v>
      </c>
      <c r="K37" s="8">
        <v>0</v>
      </c>
      <c r="L37" s="8">
        <v>2</v>
      </c>
      <c r="M37" s="8">
        <v>1</v>
      </c>
      <c r="N37" s="8" t="s">
        <v>607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1</v>
      </c>
      <c r="W37" s="8">
        <v>2</v>
      </c>
      <c r="X37" s="8">
        <v>2</v>
      </c>
      <c r="Y37" s="8" t="s"/>
      <c r="Z37" s="5" t="s"/>
    </row>
    <row r="38" spans="1:26">
      <c r="A38" s="9" t="str">
        <f>=样本清单!A38</f>
        <v>M2_P2_01</v>
      </c>
      <c r="B38" s="9" t="str">
        <f>=样本清单!B38</f>
        <v>M2</v>
      </c>
      <c r="C38" s="9" t="str">
        <f>=样本清单!C38</f>
        <v>gemini-3.1-flash-image</v>
      </c>
      <c r="D38" s="9" t="str">
        <f>=样本清单!D38</f>
        <v>P2</v>
      </c>
      <c r="E38" s="9">
        <f>=样本清单!F38</f>
        <v>1</v>
      </c>
      <c r="F38" s="8">
        <v>1</v>
      </c>
      <c r="G38" s="8">
        <v>0</v>
      </c>
      <c r="H38" s="8">
        <v>2</v>
      </c>
      <c r="I38" s="8">
        <v>1</v>
      </c>
      <c r="J38" s="8">
        <v>2</v>
      </c>
      <c r="K38" s="8">
        <v>0</v>
      </c>
      <c r="L38" s="8">
        <v>1</v>
      </c>
      <c r="M38" s="8">
        <v>2</v>
      </c>
      <c r="N38" s="8" t="s">
        <v>607</v>
      </c>
      <c r="O38" s="8">
        <v>2</v>
      </c>
      <c r="P38" s="8">
        <v>0</v>
      </c>
      <c r="Q38" s="8">
        <v>0</v>
      </c>
      <c r="R38" s="8">
        <v>0</v>
      </c>
      <c r="S38" s="8">
        <v>2</v>
      </c>
      <c r="T38" s="8">
        <v>1</v>
      </c>
      <c r="U38" s="8">
        <v>1</v>
      </c>
      <c r="V38" s="8">
        <v>1</v>
      </c>
      <c r="W38" s="8">
        <v>1</v>
      </c>
      <c r="X38" s="8">
        <v>2</v>
      </c>
      <c r="Y38" s="8" t="s"/>
      <c r="Z38" s="5" t="s"/>
    </row>
    <row r="39" spans="1:26">
      <c r="A39" s="9" t="str">
        <f>=样本清单!A39</f>
        <v>M2_P2_02</v>
      </c>
      <c r="B39" s="9" t="str">
        <f>=样本清单!B39</f>
        <v>M2</v>
      </c>
      <c r="C39" s="9" t="str">
        <f>=样本清单!C39</f>
        <v>gemini-3.1-flash-image</v>
      </c>
      <c r="D39" s="9" t="str">
        <f>=样本清单!D39</f>
        <v>P2</v>
      </c>
      <c r="E39" s="9">
        <f>=样本清单!F39</f>
        <v>2</v>
      </c>
      <c r="F39" s="8">
        <v>2</v>
      </c>
      <c r="G39" s="8">
        <v>1</v>
      </c>
      <c r="H39" s="8">
        <v>2</v>
      </c>
      <c r="I39" s="8">
        <v>1</v>
      </c>
      <c r="J39" s="8">
        <v>0</v>
      </c>
      <c r="K39" s="8">
        <v>1</v>
      </c>
      <c r="L39" s="8">
        <v>1</v>
      </c>
      <c r="M39" s="8">
        <v>2</v>
      </c>
      <c r="N39" s="8">
        <v>1</v>
      </c>
      <c r="O39" s="8">
        <v>1</v>
      </c>
      <c r="P39" s="8">
        <v>0</v>
      </c>
      <c r="Q39" s="8">
        <v>1</v>
      </c>
      <c r="R39" s="8">
        <v>0</v>
      </c>
      <c r="S39" s="8">
        <v>2</v>
      </c>
      <c r="T39" s="8">
        <v>2</v>
      </c>
      <c r="U39" s="8">
        <v>1</v>
      </c>
      <c r="V39" s="8">
        <v>1</v>
      </c>
      <c r="W39" s="8">
        <v>2</v>
      </c>
      <c r="X39" s="8">
        <v>1</v>
      </c>
      <c r="Y39" s="8" t="s"/>
      <c r="Z39" s="5" t="s"/>
    </row>
    <row r="40" spans="1:26">
      <c r="A40" s="9" t="str">
        <f>=样本清单!A40</f>
        <v>M2_P2_03</v>
      </c>
      <c r="B40" s="9" t="str">
        <f>=样本清单!B40</f>
        <v>M2</v>
      </c>
      <c r="C40" s="9" t="str">
        <f>=样本清单!C40</f>
        <v>gemini-3.1-flash-image</v>
      </c>
      <c r="D40" s="9" t="str">
        <f>=样本清单!D40</f>
        <v>P2</v>
      </c>
      <c r="E40" s="9">
        <f>=样本清单!F40</f>
        <v>3</v>
      </c>
      <c r="F40" s="8">
        <v>1</v>
      </c>
      <c r="G40" s="8">
        <v>1</v>
      </c>
      <c r="H40" s="8">
        <v>1</v>
      </c>
      <c r="I40" s="8">
        <v>1</v>
      </c>
      <c r="J40" s="8">
        <v>0</v>
      </c>
      <c r="K40" s="8">
        <v>0</v>
      </c>
      <c r="L40" s="8">
        <v>2</v>
      </c>
      <c r="M40" s="8">
        <v>2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2</v>
      </c>
      <c r="T40" s="8">
        <v>1</v>
      </c>
      <c r="U40" s="8">
        <v>1</v>
      </c>
      <c r="V40" s="8">
        <v>1</v>
      </c>
      <c r="W40" s="8">
        <v>2</v>
      </c>
      <c r="X40" s="8">
        <v>1</v>
      </c>
      <c r="Y40" s="8" t="s"/>
      <c r="Z40" s="5" t="s"/>
    </row>
    <row r="41" spans="1:26">
      <c r="A41" s="9" t="str">
        <f>=样本清单!A41</f>
        <v>M2_P2_04</v>
      </c>
      <c r="B41" s="9" t="str">
        <f>=样本清单!B41</f>
        <v>M2</v>
      </c>
      <c r="C41" s="9" t="str">
        <f>=样本清单!C41</f>
        <v>gemini-3.1-flash-image</v>
      </c>
      <c r="D41" s="9" t="str">
        <f>=样本清单!D41</f>
        <v>P2</v>
      </c>
      <c r="E41" s="9">
        <f>=样本清单!F41</f>
        <v>4</v>
      </c>
      <c r="F41" s="8">
        <v>1</v>
      </c>
      <c r="G41" s="8">
        <v>1</v>
      </c>
      <c r="H41" s="8">
        <v>2</v>
      </c>
      <c r="I41" s="8">
        <v>2</v>
      </c>
      <c r="J41" s="8">
        <v>1</v>
      </c>
      <c r="K41" s="8">
        <v>0</v>
      </c>
      <c r="L41" s="8">
        <v>2</v>
      </c>
      <c r="M41" s="8">
        <v>1</v>
      </c>
      <c r="N41" s="8" t="s">
        <v>607</v>
      </c>
      <c r="O41" s="8">
        <v>1</v>
      </c>
      <c r="P41" s="8">
        <v>0</v>
      </c>
      <c r="Q41" s="8">
        <v>0</v>
      </c>
      <c r="R41" s="8">
        <v>0</v>
      </c>
      <c r="S41" s="8">
        <v>2</v>
      </c>
      <c r="T41" s="8">
        <v>1</v>
      </c>
      <c r="U41" s="8">
        <v>2</v>
      </c>
      <c r="V41" s="8">
        <v>1</v>
      </c>
      <c r="W41" s="8">
        <v>2</v>
      </c>
      <c r="X41" s="8">
        <v>1</v>
      </c>
      <c r="Y41" s="8" t="s"/>
      <c r="Z41" s="5" t="s"/>
    </row>
    <row r="42" spans="1:26">
      <c r="A42" s="9" t="str">
        <f>=样本清单!A42</f>
        <v>M2_P2_05</v>
      </c>
      <c r="B42" s="9" t="str">
        <f>=样本清单!B42</f>
        <v>M2</v>
      </c>
      <c r="C42" s="9" t="str">
        <f>=样本清单!C42</f>
        <v>gemini-3.1-flash-image</v>
      </c>
      <c r="D42" s="9" t="str">
        <f>=样本清单!D42</f>
        <v>P2</v>
      </c>
      <c r="E42" s="9">
        <f>=样本清单!F42</f>
        <v>5</v>
      </c>
      <c r="F42" s="8">
        <v>2</v>
      </c>
      <c r="G42" s="8">
        <v>0</v>
      </c>
      <c r="H42" s="8">
        <v>1</v>
      </c>
      <c r="I42" s="8">
        <v>1</v>
      </c>
      <c r="J42" s="8">
        <v>2</v>
      </c>
      <c r="K42" s="8">
        <v>0</v>
      </c>
      <c r="L42" s="8">
        <v>1</v>
      </c>
      <c r="M42" s="8">
        <v>2</v>
      </c>
      <c r="N42" s="8" t="s">
        <v>607</v>
      </c>
      <c r="O42" s="8">
        <v>2</v>
      </c>
      <c r="P42" s="8">
        <v>0</v>
      </c>
      <c r="Q42" s="8">
        <v>0</v>
      </c>
      <c r="R42" s="8">
        <v>0</v>
      </c>
      <c r="S42" s="8">
        <v>2</v>
      </c>
      <c r="T42" s="8">
        <v>2</v>
      </c>
      <c r="U42" s="8">
        <v>1</v>
      </c>
      <c r="V42" s="8">
        <v>1</v>
      </c>
      <c r="W42" s="8">
        <v>2</v>
      </c>
      <c r="X42" s="8">
        <v>2</v>
      </c>
      <c r="Y42" s="8" t="s"/>
      <c r="Z42" s="5" t="s"/>
    </row>
    <row r="43" spans="1:26">
      <c r="A43" s="9" t="str">
        <f>=样本清单!A43</f>
        <v>M2_P2_06</v>
      </c>
      <c r="B43" s="9" t="str">
        <f>=样本清单!B43</f>
        <v>M2</v>
      </c>
      <c r="C43" s="9" t="str">
        <f>=样本清单!C43</f>
        <v>gemini-3.1-flash-image</v>
      </c>
      <c r="D43" s="9" t="str">
        <f>=样本清单!D43</f>
        <v>P2</v>
      </c>
      <c r="E43" s="9">
        <f>=样本清单!F43</f>
        <v>6</v>
      </c>
      <c r="F43" s="8">
        <v>2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2</v>
      </c>
      <c r="M43" s="8">
        <v>2</v>
      </c>
      <c r="N43" s="8" t="s">
        <v>607</v>
      </c>
      <c r="O43" s="8">
        <v>2</v>
      </c>
      <c r="P43" s="8">
        <v>0</v>
      </c>
      <c r="Q43" s="8">
        <v>0</v>
      </c>
      <c r="R43" s="8">
        <v>1</v>
      </c>
      <c r="S43" s="8">
        <v>1</v>
      </c>
      <c r="T43" s="8">
        <v>1</v>
      </c>
      <c r="U43" s="8">
        <v>2</v>
      </c>
      <c r="V43" s="8">
        <v>1</v>
      </c>
      <c r="W43" s="8">
        <v>2</v>
      </c>
      <c r="X43" s="8">
        <v>2</v>
      </c>
      <c r="Y43" s="8" t="s"/>
      <c r="Z43" s="5" t="s"/>
    </row>
    <row r="44" spans="1:26">
      <c r="A44" s="9" t="str">
        <f>=样本清单!A44</f>
        <v>M2_P2_07</v>
      </c>
      <c r="B44" s="9" t="str">
        <f>=样本清单!B44</f>
        <v>M2</v>
      </c>
      <c r="C44" s="9" t="str">
        <f>=样本清单!C44</f>
        <v>gemini-3.1-flash-image</v>
      </c>
      <c r="D44" s="9" t="str">
        <f>=样本清单!D44</f>
        <v>P2</v>
      </c>
      <c r="E44" s="9">
        <f>=样本清单!F44</f>
        <v>7</v>
      </c>
      <c r="F44" s="8">
        <v>2</v>
      </c>
      <c r="G44" s="8">
        <v>2</v>
      </c>
      <c r="H44" s="8">
        <v>2</v>
      </c>
      <c r="I44" s="8">
        <v>1</v>
      </c>
      <c r="J44" s="8">
        <v>0</v>
      </c>
      <c r="K44" s="8">
        <v>0</v>
      </c>
      <c r="L44" s="8">
        <v>1</v>
      </c>
      <c r="M44" s="8">
        <v>2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1</v>
      </c>
      <c r="W44" s="8">
        <v>2</v>
      </c>
      <c r="X44" s="8">
        <v>2</v>
      </c>
      <c r="Y44" s="8" t="s"/>
      <c r="Z44" s="5" t="s"/>
    </row>
    <row r="45" spans="1:26">
      <c r="A45" s="9" t="str">
        <f>=样本清单!A45</f>
        <v>M2_P2_08</v>
      </c>
      <c r="B45" s="9" t="str">
        <f>=样本清单!B45</f>
        <v>M2</v>
      </c>
      <c r="C45" s="9" t="str">
        <f>=样本清单!C45</f>
        <v>gemini-3.1-flash-image</v>
      </c>
      <c r="D45" s="9" t="str">
        <f>=样本清单!D45</f>
        <v>P2</v>
      </c>
      <c r="E45" s="9">
        <f>=样本清单!F45</f>
        <v>8</v>
      </c>
      <c r="F45" s="8">
        <v>2</v>
      </c>
      <c r="G45" s="8">
        <v>1</v>
      </c>
      <c r="H45" s="8">
        <v>2</v>
      </c>
      <c r="I45" s="8">
        <v>1</v>
      </c>
      <c r="J45" s="8">
        <v>0</v>
      </c>
      <c r="K45" s="8">
        <v>0</v>
      </c>
      <c r="L45" s="8">
        <v>2</v>
      </c>
      <c r="M45" s="8">
        <v>2</v>
      </c>
      <c r="N45" s="8" t="s">
        <v>607</v>
      </c>
      <c r="O45" s="8">
        <v>2</v>
      </c>
      <c r="P45" s="8">
        <v>0</v>
      </c>
      <c r="Q45" s="8">
        <v>0</v>
      </c>
      <c r="R45" s="8">
        <v>0</v>
      </c>
      <c r="S45" s="8">
        <v>2</v>
      </c>
      <c r="T45" s="8">
        <v>1</v>
      </c>
      <c r="U45" s="8">
        <v>1</v>
      </c>
      <c r="V45" s="8">
        <v>1</v>
      </c>
      <c r="W45" s="8">
        <v>2</v>
      </c>
      <c r="X45" s="8">
        <v>2</v>
      </c>
      <c r="Y45" s="8" t="s"/>
      <c r="Z45" s="5" t="s"/>
    </row>
    <row r="46" spans="1:26">
      <c r="A46" s="9" t="str">
        <f>=样本清单!A46</f>
        <v>M2_P2_09</v>
      </c>
      <c r="B46" s="9" t="str">
        <f>=样本清单!B46</f>
        <v>M2</v>
      </c>
      <c r="C46" s="9" t="str">
        <f>=样本清单!C46</f>
        <v>gemini-3.1-flash-image</v>
      </c>
      <c r="D46" s="9" t="str">
        <f>=样本清单!D46</f>
        <v>P2</v>
      </c>
      <c r="E46" s="9">
        <f>=样本清单!F46</f>
        <v>9</v>
      </c>
      <c r="F46" s="8">
        <v>2</v>
      </c>
      <c r="G46" s="8">
        <v>0</v>
      </c>
      <c r="H46" s="8">
        <v>1</v>
      </c>
      <c r="I46" s="8">
        <v>1</v>
      </c>
      <c r="J46" s="8">
        <v>1</v>
      </c>
      <c r="K46" s="8">
        <v>0</v>
      </c>
      <c r="L46" s="8">
        <v>0</v>
      </c>
      <c r="M46" s="8">
        <v>2</v>
      </c>
      <c r="N46" s="8">
        <v>1</v>
      </c>
      <c r="O46" s="8">
        <v>2</v>
      </c>
      <c r="P46" s="8">
        <v>0</v>
      </c>
      <c r="Q46" s="8">
        <v>0</v>
      </c>
      <c r="R46" s="8">
        <v>0</v>
      </c>
      <c r="S46" s="8">
        <v>2</v>
      </c>
      <c r="T46" s="8">
        <v>1</v>
      </c>
      <c r="U46" s="8">
        <v>1</v>
      </c>
      <c r="V46" s="8">
        <v>1</v>
      </c>
      <c r="W46" s="8">
        <v>2</v>
      </c>
      <c r="X46" s="8">
        <v>2</v>
      </c>
      <c r="Y46" s="8" t="s"/>
      <c r="Z46" s="5" t="s"/>
    </row>
    <row r="47" spans="1:26">
      <c r="A47" s="9" t="str">
        <f>=样本清单!A47</f>
        <v>M2_P3_01</v>
      </c>
      <c r="B47" s="9" t="str">
        <f>=样本清单!B47</f>
        <v>M2</v>
      </c>
      <c r="C47" s="9" t="str">
        <f>=样本清单!C47</f>
        <v>gemini-3.1-flash-image</v>
      </c>
      <c r="D47" s="9" t="str">
        <f>=样本清单!D47</f>
        <v>P3</v>
      </c>
      <c r="E47" s="9">
        <f>=样本清单!F47</f>
        <v>1</v>
      </c>
      <c r="F47" s="8">
        <v>2</v>
      </c>
      <c r="G47" s="8">
        <v>2</v>
      </c>
      <c r="H47" s="8">
        <v>1</v>
      </c>
      <c r="I47" s="8">
        <v>2</v>
      </c>
      <c r="J47" s="8">
        <v>1</v>
      </c>
      <c r="K47" s="8">
        <v>0</v>
      </c>
      <c r="L47" s="8">
        <v>2</v>
      </c>
      <c r="M47" s="8">
        <v>2</v>
      </c>
      <c r="N47" s="8">
        <v>2</v>
      </c>
      <c r="O47" s="8">
        <v>1</v>
      </c>
      <c r="P47" s="8">
        <v>0</v>
      </c>
      <c r="Q47" s="8">
        <v>0</v>
      </c>
      <c r="R47" s="8">
        <v>0</v>
      </c>
      <c r="S47" s="8">
        <v>2</v>
      </c>
      <c r="T47" s="8">
        <v>1</v>
      </c>
      <c r="U47" s="8">
        <v>1</v>
      </c>
      <c r="V47" s="8">
        <v>1</v>
      </c>
      <c r="W47" s="8">
        <v>2</v>
      </c>
      <c r="X47" s="8">
        <v>1</v>
      </c>
      <c r="Y47" s="8" t="s"/>
      <c r="Z47" s="5" t="s"/>
    </row>
    <row r="48" spans="1:26">
      <c r="A48" s="9" t="str">
        <f>=样本清单!A48</f>
        <v>M2_P3_02</v>
      </c>
      <c r="B48" s="9" t="str">
        <f>=样本清单!B48</f>
        <v>M2</v>
      </c>
      <c r="C48" s="9" t="str">
        <f>=样本清单!C48</f>
        <v>gemini-3.1-flash-image</v>
      </c>
      <c r="D48" s="9" t="str">
        <f>=样本清单!D48</f>
        <v>P3</v>
      </c>
      <c r="E48" s="9">
        <f>=样本清单!F48</f>
        <v>2</v>
      </c>
      <c r="F48" s="8">
        <v>2</v>
      </c>
      <c r="G48" s="8">
        <v>1</v>
      </c>
      <c r="H48" s="8">
        <v>2</v>
      </c>
      <c r="I48" s="8">
        <v>1</v>
      </c>
      <c r="J48" s="8">
        <v>1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0</v>
      </c>
      <c r="Q48" s="8">
        <v>0</v>
      </c>
      <c r="R48" s="8">
        <v>1</v>
      </c>
      <c r="S48" s="8">
        <v>2</v>
      </c>
      <c r="T48" s="8">
        <v>1</v>
      </c>
      <c r="U48" s="8">
        <v>0</v>
      </c>
      <c r="V48" s="8">
        <v>2</v>
      </c>
      <c r="W48" s="8">
        <v>1</v>
      </c>
      <c r="X48" s="8">
        <v>1</v>
      </c>
      <c r="Y48" s="8" t="s"/>
      <c r="Z48" s="5" t="s"/>
    </row>
    <row r="49" spans="1:26">
      <c r="A49" s="9" t="str">
        <f>=样本清单!A49</f>
        <v>M2_P3_03</v>
      </c>
      <c r="B49" s="9" t="str">
        <f>=样本清单!B49</f>
        <v>M2</v>
      </c>
      <c r="C49" s="9" t="str">
        <f>=样本清单!C49</f>
        <v>gemini-3.1-flash-image</v>
      </c>
      <c r="D49" s="9" t="str">
        <f>=样本清单!D49</f>
        <v>P3</v>
      </c>
      <c r="E49" s="9">
        <f>=样本清单!F49</f>
        <v>3</v>
      </c>
      <c r="F49" s="8">
        <v>1</v>
      </c>
      <c r="G49" s="8">
        <v>1</v>
      </c>
      <c r="H49" s="8">
        <v>2</v>
      </c>
      <c r="I49" s="8">
        <v>1</v>
      </c>
      <c r="J49" s="8">
        <v>0</v>
      </c>
      <c r="K49" s="8">
        <v>1</v>
      </c>
      <c r="L49" s="8">
        <v>2</v>
      </c>
      <c r="M49" s="8">
        <v>1</v>
      </c>
      <c r="N49" s="8">
        <v>1</v>
      </c>
      <c r="O49" s="8">
        <v>2</v>
      </c>
      <c r="P49" s="8">
        <v>0</v>
      </c>
      <c r="Q49" s="8">
        <v>1</v>
      </c>
      <c r="R49" s="8">
        <v>0</v>
      </c>
      <c r="S49" s="8">
        <v>1</v>
      </c>
      <c r="T49" s="8">
        <v>1</v>
      </c>
      <c r="U49" s="8">
        <v>0</v>
      </c>
      <c r="V49" s="8">
        <v>1</v>
      </c>
      <c r="W49" s="8">
        <v>2</v>
      </c>
      <c r="X49" s="8">
        <v>1</v>
      </c>
      <c r="Y49" s="8" t="s"/>
      <c r="Z49" s="5" t="s"/>
    </row>
    <row r="50" spans="1:26">
      <c r="A50" s="9" t="str">
        <f>=样本清单!A50</f>
        <v>M2_P3_04</v>
      </c>
      <c r="B50" s="9" t="str">
        <f>=样本清单!B50</f>
        <v>M2</v>
      </c>
      <c r="C50" s="9" t="str">
        <f>=样本清单!C50</f>
        <v>gemini-3.1-flash-image</v>
      </c>
      <c r="D50" s="9" t="str">
        <f>=样本清单!D50</f>
        <v>P3</v>
      </c>
      <c r="E50" s="9">
        <f>=样本清单!F50</f>
        <v>4</v>
      </c>
      <c r="F50" s="8">
        <v>2</v>
      </c>
      <c r="G50" s="8">
        <v>1</v>
      </c>
      <c r="H50" s="8">
        <v>2</v>
      </c>
      <c r="I50" s="8">
        <v>1</v>
      </c>
      <c r="J50" s="8">
        <v>1</v>
      </c>
      <c r="K50" s="8">
        <v>0</v>
      </c>
      <c r="L50" s="8">
        <v>1</v>
      </c>
      <c r="M50" s="8">
        <v>1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1</v>
      </c>
      <c r="T50" s="8">
        <v>1</v>
      </c>
      <c r="U50" s="8">
        <v>0</v>
      </c>
      <c r="V50" s="8">
        <v>1</v>
      </c>
      <c r="W50" s="8">
        <v>2</v>
      </c>
      <c r="X50" s="8">
        <v>1</v>
      </c>
      <c r="Y50" s="8" t="s"/>
      <c r="Z50" s="5" t="s"/>
    </row>
    <row r="51" spans="1:26">
      <c r="A51" s="9" t="str">
        <f>=样本清单!A51</f>
        <v>M2_P3_05</v>
      </c>
      <c r="B51" s="9" t="str">
        <f>=样本清单!B51</f>
        <v>M2</v>
      </c>
      <c r="C51" s="9" t="str">
        <f>=样本清单!C51</f>
        <v>gemini-3.1-flash-image</v>
      </c>
      <c r="D51" s="9" t="str">
        <f>=样本清单!D51</f>
        <v>P3</v>
      </c>
      <c r="E51" s="9">
        <f>=样本清单!F51</f>
        <v>5</v>
      </c>
      <c r="F51" s="8">
        <v>1</v>
      </c>
      <c r="G51" s="8">
        <v>1</v>
      </c>
      <c r="H51" s="8">
        <v>2</v>
      </c>
      <c r="I51" s="8">
        <v>0</v>
      </c>
      <c r="J51" s="8">
        <v>1</v>
      </c>
      <c r="K51" s="8">
        <v>0</v>
      </c>
      <c r="L51" s="8">
        <v>2</v>
      </c>
      <c r="M51" s="8">
        <v>1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1</v>
      </c>
      <c r="T51" s="8">
        <v>1</v>
      </c>
      <c r="U51" s="8">
        <v>1</v>
      </c>
      <c r="V51" s="8">
        <v>1</v>
      </c>
      <c r="W51" s="8">
        <v>1</v>
      </c>
      <c r="X51" s="8">
        <v>1</v>
      </c>
      <c r="Y51" s="8" t="s"/>
      <c r="Z51" s="5" t="s"/>
    </row>
    <row r="52" spans="1:26">
      <c r="A52" s="9" t="str">
        <f>=样本清单!A52</f>
        <v>M2_P3_06</v>
      </c>
      <c r="B52" s="9" t="str">
        <f>=样本清单!B52</f>
        <v>M2</v>
      </c>
      <c r="C52" s="9" t="str">
        <f>=样本清单!C52</f>
        <v>gemini-3.1-flash-image</v>
      </c>
      <c r="D52" s="9" t="str">
        <f>=样本清单!D52</f>
        <v>P3</v>
      </c>
      <c r="E52" s="9">
        <f>=样本清单!F52</f>
        <v>6</v>
      </c>
      <c r="F52" s="8">
        <v>1</v>
      </c>
      <c r="G52" s="8">
        <v>1</v>
      </c>
      <c r="H52" s="8">
        <v>2</v>
      </c>
      <c r="I52" s="8">
        <v>1</v>
      </c>
      <c r="J52" s="8">
        <v>2</v>
      </c>
      <c r="K52" s="8">
        <v>1</v>
      </c>
      <c r="L52" s="8">
        <v>2</v>
      </c>
      <c r="M52" s="8">
        <v>2</v>
      </c>
      <c r="N52" s="8">
        <v>1</v>
      </c>
      <c r="O52" s="8">
        <v>2</v>
      </c>
      <c r="P52" s="8">
        <v>0</v>
      </c>
      <c r="Q52" s="8">
        <v>0</v>
      </c>
      <c r="R52" s="8">
        <v>0</v>
      </c>
      <c r="S52" s="8">
        <v>2</v>
      </c>
      <c r="T52" s="8">
        <v>1</v>
      </c>
      <c r="U52" s="8">
        <v>1</v>
      </c>
      <c r="V52" s="8">
        <v>2</v>
      </c>
      <c r="W52" s="8">
        <v>2</v>
      </c>
      <c r="X52" s="8">
        <v>1</v>
      </c>
      <c r="Y52" s="8" t="s"/>
      <c r="Z52" s="5" t="s"/>
    </row>
    <row r="53" spans="1:26">
      <c r="A53" s="9" t="str">
        <f>=样本清单!A53</f>
        <v>M2_P3_07</v>
      </c>
      <c r="B53" s="9" t="str">
        <f>=样本清单!B53</f>
        <v>M2</v>
      </c>
      <c r="C53" s="9" t="str">
        <f>=样本清单!C53</f>
        <v>gemini-3.1-flash-image</v>
      </c>
      <c r="D53" s="9" t="str">
        <f>=样本清单!D53</f>
        <v>P3</v>
      </c>
      <c r="E53" s="9">
        <f>=样本清单!F53</f>
        <v>7</v>
      </c>
      <c r="F53" s="8">
        <v>1</v>
      </c>
      <c r="G53" s="8">
        <v>1</v>
      </c>
      <c r="H53" s="8">
        <v>1</v>
      </c>
      <c r="I53" s="8">
        <v>2</v>
      </c>
      <c r="J53" s="8">
        <v>0</v>
      </c>
      <c r="K53" s="8">
        <v>2</v>
      </c>
      <c r="L53" s="8">
        <v>2</v>
      </c>
      <c r="M53" s="8">
        <v>2</v>
      </c>
      <c r="N53" s="8">
        <v>0</v>
      </c>
      <c r="O53" s="8">
        <v>1</v>
      </c>
      <c r="P53" s="8">
        <v>0</v>
      </c>
      <c r="Q53" s="8">
        <v>0</v>
      </c>
      <c r="R53" s="8">
        <v>2</v>
      </c>
      <c r="S53" s="8">
        <v>2</v>
      </c>
      <c r="T53" s="8">
        <v>1</v>
      </c>
      <c r="U53" s="8">
        <v>1</v>
      </c>
      <c r="V53" s="8">
        <v>1</v>
      </c>
      <c r="W53" s="8">
        <v>2</v>
      </c>
      <c r="X53" s="8">
        <v>1</v>
      </c>
      <c r="Y53" s="8" t="s"/>
      <c r="Z53" s="5" t="s"/>
    </row>
    <row r="54" spans="1:26">
      <c r="A54" s="9" t="str">
        <f>=样本清单!A54</f>
        <v>M2_P3_08</v>
      </c>
      <c r="B54" s="9" t="str">
        <f>=样本清单!B54</f>
        <v>M2</v>
      </c>
      <c r="C54" s="9" t="str">
        <f>=样本清单!C54</f>
        <v>gemini-3.1-flash-image</v>
      </c>
      <c r="D54" s="9" t="str">
        <f>=样本清单!D54</f>
        <v>P3</v>
      </c>
      <c r="E54" s="9">
        <f>=样本清单!F54</f>
        <v>8</v>
      </c>
      <c r="F54" s="8">
        <v>2</v>
      </c>
      <c r="G54" s="8">
        <v>2</v>
      </c>
      <c r="H54" s="8">
        <v>2</v>
      </c>
      <c r="I54" s="8">
        <v>1</v>
      </c>
      <c r="J54" s="8">
        <v>1</v>
      </c>
      <c r="K54" s="8">
        <v>0</v>
      </c>
      <c r="L54" s="8">
        <v>0</v>
      </c>
      <c r="M54" s="8">
        <v>1</v>
      </c>
      <c r="N54" s="8">
        <v>2</v>
      </c>
      <c r="O54" s="8">
        <v>2</v>
      </c>
      <c r="P54" s="8">
        <v>0</v>
      </c>
      <c r="Q54" s="8">
        <v>0</v>
      </c>
      <c r="R54" s="8">
        <v>1</v>
      </c>
      <c r="S54" s="8">
        <v>2</v>
      </c>
      <c r="T54" s="8">
        <v>2</v>
      </c>
      <c r="U54" s="8">
        <v>1</v>
      </c>
      <c r="V54" s="8">
        <v>2</v>
      </c>
      <c r="W54" s="8">
        <v>2</v>
      </c>
      <c r="X54" s="8">
        <v>1</v>
      </c>
      <c r="Y54" s="8" t="s"/>
      <c r="Z54" s="5" t="s"/>
    </row>
    <row r="55" spans="1:26">
      <c r="A55" s="9" t="str">
        <f>=样本清单!A55</f>
        <v>M2_P3_09</v>
      </c>
      <c r="B55" s="9" t="str">
        <f>=样本清单!B55</f>
        <v>M2</v>
      </c>
      <c r="C55" s="9" t="str">
        <f>=样本清单!C55</f>
        <v>gemini-3.1-flash-image</v>
      </c>
      <c r="D55" s="9" t="str">
        <f>=样本清单!D55</f>
        <v>P3</v>
      </c>
      <c r="E55" s="9">
        <f>=样本清单!F55</f>
        <v>9</v>
      </c>
      <c r="F55" s="8">
        <v>1</v>
      </c>
      <c r="G55" s="8">
        <v>1</v>
      </c>
      <c r="H55" s="8">
        <v>2</v>
      </c>
      <c r="I55" s="8">
        <v>1</v>
      </c>
      <c r="J55" s="8">
        <v>1</v>
      </c>
      <c r="K55" s="8">
        <v>2</v>
      </c>
      <c r="L55" s="8">
        <v>1</v>
      </c>
      <c r="M55" s="8">
        <v>2</v>
      </c>
      <c r="N55" s="8">
        <v>2</v>
      </c>
      <c r="O55" s="8">
        <v>0</v>
      </c>
      <c r="P55" s="8">
        <v>0</v>
      </c>
      <c r="Q55" s="8">
        <v>0</v>
      </c>
      <c r="R55" s="8">
        <v>1</v>
      </c>
      <c r="S55" s="8">
        <v>2</v>
      </c>
      <c r="T55" s="8">
        <v>1</v>
      </c>
      <c r="U55" s="8">
        <v>1</v>
      </c>
      <c r="V55" s="8">
        <v>1</v>
      </c>
      <c r="W55" s="8">
        <v>2</v>
      </c>
      <c r="X55" s="8">
        <v>1</v>
      </c>
      <c r="Y55" s="8" t="s"/>
      <c r="Z55" s="5" t="s"/>
    </row>
    <row r="56" spans="1:26">
      <c r="A56" s="9" t="str">
        <f>=样本清单!A56</f>
        <v>M3_P1_01</v>
      </c>
      <c r="B56" s="9" t="str">
        <f>=样本清单!B56</f>
        <v>M3</v>
      </c>
      <c r="C56" s="9" t="str">
        <f>=样本清单!C56</f>
        <v>MAI-Image-2.5-Pro</v>
      </c>
      <c r="D56" s="9" t="str">
        <f>=样本清单!D56</f>
        <v>P1</v>
      </c>
      <c r="E56" s="9">
        <f>=样本清单!F56</f>
        <v>1</v>
      </c>
      <c r="F56" s="8">
        <v>2</v>
      </c>
      <c r="G56" s="8">
        <v>1</v>
      </c>
      <c r="H56" s="8">
        <v>2</v>
      </c>
      <c r="I56" s="8">
        <v>1</v>
      </c>
      <c r="J56" s="8">
        <v>2</v>
      </c>
      <c r="K56" s="8">
        <v>2</v>
      </c>
      <c r="L56" s="8">
        <v>2</v>
      </c>
      <c r="M56" s="8">
        <v>1</v>
      </c>
      <c r="N56" s="8" t="s">
        <v>607</v>
      </c>
      <c r="O56" s="8">
        <v>2</v>
      </c>
      <c r="P56" s="8">
        <v>0</v>
      </c>
      <c r="Q56" s="8">
        <v>0</v>
      </c>
      <c r="R56" s="8">
        <v>0</v>
      </c>
      <c r="S56" s="8">
        <v>2</v>
      </c>
      <c r="T56" s="8">
        <v>2</v>
      </c>
      <c r="U56" s="8">
        <v>1</v>
      </c>
      <c r="V56" s="8">
        <v>1</v>
      </c>
      <c r="W56" s="8">
        <v>1</v>
      </c>
      <c r="X56" s="8">
        <v>2</v>
      </c>
      <c r="Y56" s="8" t="s"/>
      <c r="Z56" s="5" t="s"/>
    </row>
    <row r="57" spans="1:26">
      <c r="A57" s="9" t="str">
        <f>=样本清单!A57</f>
        <v>M3_P1_02</v>
      </c>
      <c r="B57" s="9" t="str">
        <f>=样本清单!B57</f>
        <v>M3</v>
      </c>
      <c r="C57" s="9" t="str">
        <f>=样本清单!C57</f>
        <v>MAI-Image-2.5-Pro</v>
      </c>
      <c r="D57" s="9" t="str">
        <f>=样本清单!D57</f>
        <v>P1</v>
      </c>
      <c r="E57" s="9">
        <f>=样本清单!F57</f>
        <v>2</v>
      </c>
      <c r="F57" s="8">
        <v>2</v>
      </c>
      <c r="G57" s="8">
        <v>2</v>
      </c>
      <c r="H57" s="8">
        <v>2</v>
      </c>
      <c r="I57" s="8">
        <v>2</v>
      </c>
      <c r="J57" s="8">
        <v>1</v>
      </c>
      <c r="K57" s="8">
        <v>1</v>
      </c>
      <c r="L57" s="8">
        <v>2</v>
      </c>
      <c r="M57" s="8">
        <v>2</v>
      </c>
      <c r="N57" s="8" t="s">
        <v>607</v>
      </c>
      <c r="O57" s="8">
        <v>2</v>
      </c>
      <c r="P57" s="8">
        <v>0</v>
      </c>
      <c r="Q57" s="8">
        <v>1</v>
      </c>
      <c r="R57" s="8">
        <v>0</v>
      </c>
      <c r="S57" s="8">
        <v>2</v>
      </c>
      <c r="T57" s="8">
        <v>2</v>
      </c>
      <c r="U57" s="8">
        <v>2</v>
      </c>
      <c r="V57" s="8">
        <v>1</v>
      </c>
      <c r="W57" s="8">
        <v>2</v>
      </c>
      <c r="X57" s="8">
        <v>2</v>
      </c>
      <c r="Y57" s="8" t="s"/>
      <c r="Z57" s="5" t="s"/>
    </row>
    <row r="58" spans="1:26">
      <c r="A58" s="9" t="str">
        <f>=样本清单!A58</f>
        <v>M3_P1_03</v>
      </c>
      <c r="B58" s="9" t="str">
        <f>=样本清单!B58</f>
        <v>M3</v>
      </c>
      <c r="C58" s="9" t="str">
        <f>=样本清单!C58</f>
        <v>MAI-Image-2.5-Pro</v>
      </c>
      <c r="D58" s="9" t="str">
        <f>=样本清单!D58</f>
        <v>P1</v>
      </c>
      <c r="E58" s="9">
        <f>=样本清单!F58</f>
        <v>3</v>
      </c>
      <c r="F58" s="8">
        <v>1</v>
      </c>
      <c r="G58" s="8">
        <v>2</v>
      </c>
      <c r="H58" s="8">
        <v>2</v>
      </c>
      <c r="I58" s="8">
        <v>0</v>
      </c>
      <c r="J58" s="8">
        <v>0</v>
      </c>
      <c r="K58" s="8">
        <v>2</v>
      </c>
      <c r="L58" s="8">
        <v>2</v>
      </c>
      <c r="M58" s="8">
        <v>1</v>
      </c>
      <c r="N58" s="8" t="s">
        <v>607</v>
      </c>
      <c r="O58" s="8">
        <v>2</v>
      </c>
      <c r="P58" s="8">
        <v>0</v>
      </c>
      <c r="Q58" s="8">
        <v>0</v>
      </c>
      <c r="R58" s="8">
        <v>0</v>
      </c>
      <c r="S58" s="8">
        <v>2</v>
      </c>
      <c r="T58" s="8">
        <v>2</v>
      </c>
      <c r="U58" s="8">
        <v>1</v>
      </c>
      <c r="V58" s="8">
        <v>1</v>
      </c>
      <c r="W58" s="8">
        <v>2</v>
      </c>
      <c r="X58" s="8">
        <v>1</v>
      </c>
      <c r="Y58" s="8" t="s"/>
      <c r="Z58" s="5" t="s"/>
    </row>
    <row r="59" spans="1:26">
      <c r="A59" s="9" t="str">
        <f>=样本清单!A59</f>
        <v>M3_P1_04</v>
      </c>
      <c r="B59" s="9" t="str">
        <f>=样本清单!B59</f>
        <v>M3</v>
      </c>
      <c r="C59" s="9" t="str">
        <f>=样本清单!C59</f>
        <v>MAI-Image-2.5-Pro</v>
      </c>
      <c r="D59" s="9" t="str">
        <f>=样本清单!D59</f>
        <v>P1</v>
      </c>
      <c r="E59" s="9">
        <f>=样本清单!F59</f>
        <v>4</v>
      </c>
      <c r="F59" s="8">
        <v>1</v>
      </c>
      <c r="G59" s="8">
        <v>2</v>
      </c>
      <c r="H59" s="8">
        <v>2</v>
      </c>
      <c r="I59" s="8">
        <v>0</v>
      </c>
      <c r="J59" s="8">
        <v>1</v>
      </c>
      <c r="K59" s="8">
        <v>2</v>
      </c>
      <c r="L59" s="8">
        <v>1</v>
      </c>
      <c r="M59" s="8">
        <v>1</v>
      </c>
      <c r="N59" s="8" t="s">
        <v>607</v>
      </c>
      <c r="O59" s="8">
        <v>2</v>
      </c>
      <c r="P59" s="8">
        <v>0</v>
      </c>
      <c r="Q59" s="8">
        <v>0</v>
      </c>
      <c r="R59" s="8">
        <v>0</v>
      </c>
      <c r="S59" s="8">
        <v>2</v>
      </c>
      <c r="T59" s="8">
        <v>2</v>
      </c>
      <c r="U59" s="8">
        <v>1</v>
      </c>
      <c r="V59" s="8">
        <v>1</v>
      </c>
      <c r="W59" s="8">
        <v>2</v>
      </c>
      <c r="X59" s="8">
        <v>1</v>
      </c>
      <c r="Y59" s="8" t="s"/>
      <c r="Z59" s="5" t="s"/>
    </row>
    <row r="60" spans="1:26">
      <c r="A60" s="9" t="str">
        <f>=样本清单!A60</f>
        <v>M3_P1_05</v>
      </c>
      <c r="B60" s="9" t="str">
        <f>=样本清单!B60</f>
        <v>M3</v>
      </c>
      <c r="C60" s="9" t="str">
        <f>=样本清单!C60</f>
        <v>MAI-Image-2.5-Pro</v>
      </c>
      <c r="D60" s="9" t="str">
        <f>=样本清单!D60</f>
        <v>P1</v>
      </c>
      <c r="E60" s="9">
        <f>=样本清单!F60</f>
        <v>5</v>
      </c>
      <c r="F60" s="8">
        <v>2</v>
      </c>
      <c r="G60" s="8">
        <v>1</v>
      </c>
      <c r="H60" s="8">
        <v>2</v>
      </c>
      <c r="I60" s="8">
        <v>1</v>
      </c>
      <c r="J60" s="8">
        <v>2</v>
      </c>
      <c r="K60" s="8">
        <v>2</v>
      </c>
      <c r="L60" s="8">
        <v>2</v>
      </c>
      <c r="M60" s="8">
        <v>2</v>
      </c>
      <c r="N60" s="8" t="s">
        <v>607</v>
      </c>
      <c r="O60" s="8">
        <v>2</v>
      </c>
      <c r="P60" s="8">
        <v>1</v>
      </c>
      <c r="Q60" s="8">
        <v>0</v>
      </c>
      <c r="R60" s="8">
        <v>0</v>
      </c>
      <c r="S60" s="8">
        <v>2</v>
      </c>
      <c r="T60" s="8">
        <v>2</v>
      </c>
      <c r="U60" s="8">
        <v>1</v>
      </c>
      <c r="V60" s="8">
        <v>1</v>
      </c>
      <c r="W60" s="8">
        <v>2</v>
      </c>
      <c r="X60" s="8">
        <v>2</v>
      </c>
      <c r="Y60" s="8" t="s"/>
      <c r="Z60" s="5" t="s"/>
    </row>
    <row r="61" spans="1:26">
      <c r="A61" s="9" t="str">
        <f>=样本清单!A61</f>
        <v>M3_P1_06</v>
      </c>
      <c r="B61" s="9" t="str">
        <f>=样本清单!B61</f>
        <v>M3</v>
      </c>
      <c r="C61" s="9" t="str">
        <f>=样本清单!C61</f>
        <v>MAI-Image-2.5-Pro</v>
      </c>
      <c r="D61" s="9" t="str">
        <f>=样本清单!D61</f>
        <v>P1</v>
      </c>
      <c r="E61" s="9">
        <f>=样本清单!F61</f>
        <v>6</v>
      </c>
      <c r="F61" s="8">
        <v>2</v>
      </c>
      <c r="G61" s="8">
        <v>1</v>
      </c>
      <c r="H61" s="8">
        <v>2</v>
      </c>
      <c r="I61" s="8">
        <v>0</v>
      </c>
      <c r="J61" s="8">
        <v>1</v>
      </c>
      <c r="K61" s="8">
        <v>2</v>
      </c>
      <c r="L61" s="8">
        <v>0</v>
      </c>
      <c r="M61" s="8">
        <v>1</v>
      </c>
      <c r="N61" s="8" t="s">
        <v>607</v>
      </c>
      <c r="O61" s="8">
        <v>2</v>
      </c>
      <c r="P61" s="8">
        <v>0</v>
      </c>
      <c r="Q61" s="8">
        <v>0</v>
      </c>
      <c r="R61" s="8">
        <v>0</v>
      </c>
      <c r="S61" s="8">
        <v>2</v>
      </c>
      <c r="T61" s="8">
        <v>2</v>
      </c>
      <c r="U61" s="8">
        <v>1</v>
      </c>
      <c r="V61" s="8">
        <v>1</v>
      </c>
      <c r="W61" s="8">
        <v>2</v>
      </c>
      <c r="X61" s="8">
        <v>2</v>
      </c>
      <c r="Y61" s="8" t="s"/>
      <c r="Z61" s="5" t="s"/>
    </row>
    <row r="62" spans="1:26">
      <c r="A62" s="9" t="str">
        <f>=样本清单!A62</f>
        <v>M3_P1_07</v>
      </c>
      <c r="B62" s="9" t="str">
        <f>=样本清单!B62</f>
        <v>M3</v>
      </c>
      <c r="C62" s="9" t="str">
        <f>=样本清单!C62</f>
        <v>MAI-Image-2.5-Pro</v>
      </c>
      <c r="D62" s="9" t="str">
        <f>=样本清单!D62</f>
        <v>P1</v>
      </c>
      <c r="E62" s="9">
        <f>=样本清单!F62</f>
        <v>7</v>
      </c>
      <c r="F62" s="8">
        <v>2</v>
      </c>
      <c r="G62" s="8">
        <v>2</v>
      </c>
      <c r="H62" s="8">
        <v>2</v>
      </c>
      <c r="I62" s="8">
        <v>1</v>
      </c>
      <c r="J62" s="8">
        <v>1</v>
      </c>
      <c r="K62" s="8">
        <v>2</v>
      </c>
      <c r="L62" s="8">
        <v>2</v>
      </c>
      <c r="M62" s="8">
        <v>2</v>
      </c>
      <c r="N62" s="8" t="s">
        <v>607</v>
      </c>
      <c r="O62" s="8">
        <v>2</v>
      </c>
      <c r="P62" s="8">
        <v>0</v>
      </c>
      <c r="Q62" s="8">
        <v>0</v>
      </c>
      <c r="R62" s="8">
        <v>0</v>
      </c>
      <c r="S62" s="8">
        <v>2</v>
      </c>
      <c r="T62" s="8">
        <v>2</v>
      </c>
      <c r="U62" s="8">
        <v>1</v>
      </c>
      <c r="V62" s="8">
        <v>2</v>
      </c>
      <c r="W62" s="8">
        <v>2</v>
      </c>
      <c r="X62" s="8">
        <v>2</v>
      </c>
      <c r="Y62" s="8" t="s"/>
      <c r="Z62" s="5" t="s"/>
    </row>
    <row r="63" spans="1:26">
      <c r="A63" s="9" t="str">
        <f>=样本清单!A63</f>
        <v>M3_P1_08</v>
      </c>
      <c r="B63" s="9" t="str">
        <f>=样本清单!B63</f>
        <v>M3</v>
      </c>
      <c r="C63" s="9" t="str">
        <f>=样本清单!C63</f>
        <v>MAI-Image-2.5-Pro</v>
      </c>
      <c r="D63" s="9" t="str">
        <f>=样本清单!D63</f>
        <v>P1</v>
      </c>
      <c r="E63" s="9">
        <f>=样本清单!F63</f>
        <v>8</v>
      </c>
      <c r="F63" s="8">
        <v>1</v>
      </c>
      <c r="G63" s="8">
        <v>1</v>
      </c>
      <c r="H63" s="8">
        <v>2</v>
      </c>
      <c r="I63" s="8">
        <v>0</v>
      </c>
      <c r="J63" s="8">
        <v>2</v>
      </c>
      <c r="K63" s="8">
        <v>2</v>
      </c>
      <c r="L63" s="8">
        <v>2</v>
      </c>
      <c r="M63" s="8">
        <v>1</v>
      </c>
      <c r="N63" s="8" t="s">
        <v>607</v>
      </c>
      <c r="O63" s="8">
        <v>2</v>
      </c>
      <c r="P63" s="8">
        <v>0</v>
      </c>
      <c r="Q63" s="8">
        <v>0</v>
      </c>
      <c r="R63" s="8">
        <v>0</v>
      </c>
      <c r="S63" s="8">
        <v>2</v>
      </c>
      <c r="T63" s="8">
        <v>2</v>
      </c>
      <c r="U63" s="8">
        <v>1</v>
      </c>
      <c r="V63" s="8">
        <v>2</v>
      </c>
      <c r="W63" s="8">
        <v>2</v>
      </c>
      <c r="X63" s="8">
        <v>2</v>
      </c>
      <c r="Y63" s="8" t="s"/>
      <c r="Z63" s="5" t="s"/>
    </row>
    <row r="64" spans="1:26">
      <c r="A64" s="9" t="str">
        <f>=样本清单!A64</f>
        <v>M3_P1_09</v>
      </c>
      <c r="B64" s="9" t="str">
        <f>=样本清单!B64</f>
        <v>M3</v>
      </c>
      <c r="C64" s="9" t="str">
        <f>=样本清单!C64</f>
        <v>MAI-Image-2.5-Pro</v>
      </c>
      <c r="D64" s="9" t="str">
        <f>=样本清单!D64</f>
        <v>P1</v>
      </c>
      <c r="E64" s="9">
        <f>=样本清单!F64</f>
        <v>9</v>
      </c>
      <c r="F64" s="8">
        <v>1</v>
      </c>
      <c r="G64" s="8">
        <v>2</v>
      </c>
      <c r="H64" s="8">
        <v>2</v>
      </c>
      <c r="I64" s="8">
        <v>1</v>
      </c>
      <c r="J64" s="8">
        <v>2</v>
      </c>
      <c r="K64" s="8">
        <v>2</v>
      </c>
      <c r="L64" s="8">
        <v>2</v>
      </c>
      <c r="M64" s="8">
        <v>2</v>
      </c>
      <c r="N64" s="8" t="s">
        <v>607</v>
      </c>
      <c r="O64" s="8">
        <v>2</v>
      </c>
      <c r="P64" s="8">
        <v>0</v>
      </c>
      <c r="Q64" s="8">
        <v>0</v>
      </c>
      <c r="R64" s="8">
        <v>0</v>
      </c>
      <c r="S64" s="8">
        <v>2</v>
      </c>
      <c r="T64" s="8">
        <v>2</v>
      </c>
      <c r="U64" s="8">
        <v>1</v>
      </c>
      <c r="V64" s="8">
        <v>2</v>
      </c>
      <c r="W64" s="8">
        <v>2</v>
      </c>
      <c r="X64" s="8">
        <v>2</v>
      </c>
      <c r="Y64" s="8" t="s"/>
      <c r="Z64" s="5" t="s"/>
    </row>
    <row r="65" spans="1:26">
      <c r="A65" s="9" t="str">
        <f>=样本清单!A65</f>
        <v>M3_P2_01</v>
      </c>
      <c r="B65" s="9" t="str">
        <f>=样本清单!B65</f>
        <v>M3</v>
      </c>
      <c r="C65" s="9" t="str">
        <f>=样本清单!C65</f>
        <v>MAI-Image-2.5-Pro</v>
      </c>
      <c r="D65" s="9" t="str">
        <f>=样本清单!D65</f>
        <v>P2</v>
      </c>
      <c r="E65" s="9">
        <f>=样本清单!F65</f>
        <v>1</v>
      </c>
      <c r="F65" s="8">
        <v>2</v>
      </c>
      <c r="G65" s="8">
        <v>2</v>
      </c>
      <c r="H65" s="8">
        <v>2</v>
      </c>
      <c r="I65" s="8">
        <v>0</v>
      </c>
      <c r="J65" s="8">
        <v>1</v>
      </c>
      <c r="K65" s="8">
        <v>2</v>
      </c>
      <c r="L65" s="8">
        <v>2</v>
      </c>
      <c r="M65" s="8">
        <v>2</v>
      </c>
      <c r="N65" s="8" t="s">
        <v>607</v>
      </c>
      <c r="O65" s="8">
        <v>2</v>
      </c>
      <c r="P65" s="8">
        <v>1</v>
      </c>
      <c r="Q65" s="8">
        <v>1</v>
      </c>
      <c r="R65" s="8">
        <v>0</v>
      </c>
      <c r="S65" s="8">
        <v>2</v>
      </c>
      <c r="T65" s="8">
        <v>2</v>
      </c>
      <c r="U65" s="8">
        <v>1</v>
      </c>
      <c r="V65" s="8">
        <v>2</v>
      </c>
      <c r="W65" s="8">
        <v>2</v>
      </c>
      <c r="X65" s="8">
        <v>2</v>
      </c>
      <c r="Y65" s="8" t="s"/>
      <c r="Z65" s="5" t="s"/>
    </row>
    <row r="66" spans="1:26">
      <c r="A66" s="9" t="str">
        <f>=样本清单!A66</f>
        <v>M3_P2_02</v>
      </c>
      <c r="B66" s="9" t="str">
        <f>=样本清单!B66</f>
        <v>M3</v>
      </c>
      <c r="C66" s="9" t="str">
        <f>=样本清单!C66</f>
        <v>MAI-Image-2.5-Pro</v>
      </c>
      <c r="D66" s="9" t="str">
        <f>=样本清单!D66</f>
        <v>P2</v>
      </c>
      <c r="E66" s="9">
        <f>=样本清单!F66</f>
        <v>2</v>
      </c>
      <c r="F66" s="8">
        <v>2</v>
      </c>
      <c r="G66" s="8">
        <v>0</v>
      </c>
      <c r="H66" s="8">
        <v>2</v>
      </c>
      <c r="I66" s="8">
        <v>1</v>
      </c>
      <c r="J66" s="8">
        <v>1</v>
      </c>
      <c r="K66" s="8">
        <v>2</v>
      </c>
      <c r="L66" s="8">
        <v>2</v>
      </c>
      <c r="M66" s="8">
        <v>1</v>
      </c>
      <c r="N66" s="8" t="s">
        <v>607</v>
      </c>
      <c r="O66" s="8">
        <v>2</v>
      </c>
      <c r="P66" s="8">
        <v>0</v>
      </c>
      <c r="Q66" s="8">
        <v>0</v>
      </c>
      <c r="R66" s="8">
        <v>0</v>
      </c>
      <c r="S66" s="8">
        <v>2</v>
      </c>
      <c r="T66" s="8">
        <v>2</v>
      </c>
      <c r="U66" s="8">
        <v>2</v>
      </c>
      <c r="V66" s="8">
        <v>2</v>
      </c>
      <c r="W66" s="8">
        <v>2</v>
      </c>
      <c r="X66" s="8">
        <v>2</v>
      </c>
      <c r="Y66" s="8" t="s"/>
      <c r="Z66" s="5" t="s"/>
    </row>
    <row r="67" spans="1:26">
      <c r="A67" s="9" t="str">
        <f>=样本清单!A67</f>
        <v>M3_P2_03</v>
      </c>
      <c r="B67" s="9" t="str">
        <f>=样本清单!B67</f>
        <v>M3</v>
      </c>
      <c r="C67" s="9" t="str">
        <f>=样本清单!C67</f>
        <v>MAI-Image-2.5-Pro</v>
      </c>
      <c r="D67" s="9" t="str">
        <f>=样本清单!D67</f>
        <v>P2</v>
      </c>
      <c r="E67" s="9">
        <f>=样本清单!F67</f>
        <v>3</v>
      </c>
      <c r="F67" s="8">
        <v>2</v>
      </c>
      <c r="G67" s="8">
        <v>2</v>
      </c>
      <c r="H67" s="8">
        <v>2</v>
      </c>
      <c r="I67" s="8">
        <v>1</v>
      </c>
      <c r="J67" s="8">
        <v>0</v>
      </c>
      <c r="K67" s="8">
        <v>2</v>
      </c>
      <c r="L67" s="8">
        <v>2</v>
      </c>
      <c r="M67" s="8">
        <v>2</v>
      </c>
      <c r="N67" s="8" t="s">
        <v>607</v>
      </c>
      <c r="O67" s="8">
        <v>2</v>
      </c>
      <c r="P67" s="8">
        <v>1</v>
      </c>
      <c r="Q67" s="8">
        <v>1</v>
      </c>
      <c r="R67" s="8">
        <v>0</v>
      </c>
      <c r="S67" s="8">
        <v>2</v>
      </c>
      <c r="T67" s="8">
        <v>2</v>
      </c>
      <c r="U67" s="8">
        <v>2</v>
      </c>
      <c r="V67" s="8">
        <v>2</v>
      </c>
      <c r="W67" s="8">
        <v>2</v>
      </c>
      <c r="X67" s="8">
        <v>2</v>
      </c>
      <c r="Y67" s="8" t="s"/>
      <c r="Z67" s="5" t="s"/>
    </row>
    <row r="68" spans="1:26">
      <c r="A68" s="9" t="str">
        <f>=样本清单!A68</f>
        <v>M3_P2_04</v>
      </c>
      <c r="B68" s="9" t="str">
        <f>=样本清单!B68</f>
        <v>M3</v>
      </c>
      <c r="C68" s="9" t="str">
        <f>=样本清单!C68</f>
        <v>MAI-Image-2.5-Pro</v>
      </c>
      <c r="D68" s="9" t="str">
        <f>=样本清单!D68</f>
        <v>P2</v>
      </c>
      <c r="E68" s="9">
        <f>=样本清单!F68</f>
        <v>4</v>
      </c>
      <c r="F68" s="8">
        <v>1</v>
      </c>
      <c r="G68" s="8">
        <v>1</v>
      </c>
      <c r="H68" s="8">
        <v>2</v>
      </c>
      <c r="I68" s="8">
        <v>1</v>
      </c>
      <c r="J68" s="8">
        <v>2</v>
      </c>
      <c r="K68" s="8">
        <v>2</v>
      </c>
      <c r="L68" s="8">
        <v>2</v>
      </c>
      <c r="M68" s="8">
        <v>2</v>
      </c>
      <c r="N68" s="8" t="s">
        <v>607</v>
      </c>
      <c r="O68" s="8">
        <v>2</v>
      </c>
      <c r="P68" s="8">
        <v>0</v>
      </c>
      <c r="Q68" s="8">
        <v>0</v>
      </c>
      <c r="R68" s="8">
        <v>0</v>
      </c>
      <c r="S68" s="8">
        <v>2</v>
      </c>
      <c r="T68" s="8">
        <v>2</v>
      </c>
      <c r="U68" s="8">
        <v>2</v>
      </c>
      <c r="V68" s="8">
        <v>2</v>
      </c>
      <c r="W68" s="8">
        <v>2</v>
      </c>
      <c r="X68" s="8">
        <v>1</v>
      </c>
      <c r="Y68" s="8" t="s"/>
      <c r="Z68" s="5" t="s"/>
    </row>
    <row r="69" spans="1:26">
      <c r="A69" s="9" t="str">
        <f>=样本清单!A69</f>
        <v>M3_P2_05</v>
      </c>
      <c r="B69" s="9" t="str">
        <f>=样本清单!B69</f>
        <v>M3</v>
      </c>
      <c r="C69" s="9" t="str">
        <f>=样本清单!C69</f>
        <v>MAI-Image-2.5-Pro</v>
      </c>
      <c r="D69" s="9" t="str">
        <f>=样本清单!D69</f>
        <v>P2</v>
      </c>
      <c r="E69" s="9">
        <f>=样本清单!F69</f>
        <v>5</v>
      </c>
      <c r="F69" s="8">
        <v>2</v>
      </c>
      <c r="G69" s="8">
        <v>2</v>
      </c>
      <c r="H69" s="8">
        <v>2</v>
      </c>
      <c r="I69" s="8">
        <v>1</v>
      </c>
      <c r="J69" s="8">
        <v>1</v>
      </c>
      <c r="K69" s="8">
        <v>2</v>
      </c>
      <c r="L69" s="8">
        <v>2</v>
      </c>
      <c r="M69" s="8">
        <v>2</v>
      </c>
      <c r="N69" s="8" t="s">
        <v>607</v>
      </c>
      <c r="O69" s="8">
        <v>2</v>
      </c>
      <c r="P69" s="8">
        <v>0</v>
      </c>
      <c r="Q69" s="8">
        <v>1</v>
      </c>
      <c r="R69" s="8">
        <v>0</v>
      </c>
      <c r="S69" s="8">
        <v>2</v>
      </c>
      <c r="T69" s="8">
        <v>2</v>
      </c>
      <c r="U69" s="8">
        <v>2</v>
      </c>
      <c r="V69" s="8">
        <v>2</v>
      </c>
      <c r="W69" s="8">
        <v>2</v>
      </c>
      <c r="X69" s="8">
        <v>2</v>
      </c>
      <c r="Y69" s="8" t="s"/>
      <c r="Z69" s="5" t="s"/>
    </row>
    <row r="70" spans="1:26">
      <c r="A70" s="9" t="str">
        <f>=样本清单!A70</f>
        <v>M3_P2_06</v>
      </c>
      <c r="B70" s="9" t="str">
        <f>=样本清单!B70</f>
        <v>M3</v>
      </c>
      <c r="C70" s="9" t="str">
        <f>=样本清单!C70</f>
        <v>MAI-Image-2.5-Pro</v>
      </c>
      <c r="D70" s="9" t="str">
        <f>=样本清单!D70</f>
        <v>P2</v>
      </c>
      <c r="E70" s="9">
        <f>=样本清单!F70</f>
        <v>6</v>
      </c>
      <c r="F70" s="8">
        <v>2</v>
      </c>
      <c r="G70" s="8">
        <v>1</v>
      </c>
      <c r="H70" s="8">
        <v>2</v>
      </c>
      <c r="I70" s="8">
        <v>0</v>
      </c>
      <c r="J70" s="8">
        <v>1</v>
      </c>
      <c r="K70" s="8">
        <v>2</v>
      </c>
      <c r="L70" s="8">
        <v>2</v>
      </c>
      <c r="M70" s="8">
        <v>1</v>
      </c>
      <c r="N70" s="8" t="s">
        <v>607</v>
      </c>
      <c r="O70" s="8">
        <v>2</v>
      </c>
      <c r="P70" s="8">
        <v>0</v>
      </c>
      <c r="Q70" s="8">
        <v>0</v>
      </c>
      <c r="R70" s="8">
        <v>0</v>
      </c>
      <c r="S70" s="8">
        <v>2</v>
      </c>
      <c r="T70" s="8">
        <v>2</v>
      </c>
      <c r="U70" s="8">
        <v>2</v>
      </c>
      <c r="V70" s="8">
        <v>2</v>
      </c>
      <c r="W70" s="8">
        <v>2</v>
      </c>
      <c r="X70" s="8">
        <v>2</v>
      </c>
      <c r="Y70" s="8" t="s"/>
      <c r="Z70" s="5" t="s"/>
    </row>
    <row r="71" spans="1:26">
      <c r="A71" s="9" t="str">
        <f>=样本清单!A71</f>
        <v>M3_P2_07</v>
      </c>
      <c r="B71" s="9" t="str">
        <f>=样本清单!B71</f>
        <v>M3</v>
      </c>
      <c r="C71" s="9" t="str">
        <f>=样本清单!C71</f>
        <v>MAI-Image-2.5-Pro</v>
      </c>
      <c r="D71" s="9" t="str">
        <f>=样本清单!D71</f>
        <v>P2</v>
      </c>
      <c r="E71" s="9">
        <f>=样本清单!F71</f>
        <v>7</v>
      </c>
      <c r="F71" s="8">
        <v>2</v>
      </c>
      <c r="G71" s="8">
        <v>1</v>
      </c>
      <c r="H71" s="8">
        <v>2</v>
      </c>
      <c r="I71" s="8">
        <v>1</v>
      </c>
      <c r="J71" s="8">
        <v>1</v>
      </c>
      <c r="K71" s="8">
        <v>2</v>
      </c>
      <c r="L71" s="8">
        <v>2</v>
      </c>
      <c r="M71" s="8">
        <v>2</v>
      </c>
      <c r="N71" s="8" t="s">
        <v>607</v>
      </c>
      <c r="O71" s="8">
        <v>2</v>
      </c>
      <c r="P71" s="8">
        <v>0</v>
      </c>
      <c r="Q71" s="8">
        <v>0</v>
      </c>
      <c r="R71" s="8">
        <v>0</v>
      </c>
      <c r="S71" s="8">
        <v>2</v>
      </c>
      <c r="T71" s="8">
        <v>2</v>
      </c>
      <c r="U71" s="8">
        <v>2</v>
      </c>
      <c r="V71" s="8">
        <v>2</v>
      </c>
      <c r="W71" s="8">
        <v>2</v>
      </c>
      <c r="X71" s="8">
        <v>2</v>
      </c>
      <c r="Y71" s="8" t="s"/>
      <c r="Z71" s="5" t="s"/>
    </row>
    <row r="72" spans="1:26">
      <c r="A72" s="9" t="str">
        <f>=样本清单!A72</f>
        <v>M3_P2_08</v>
      </c>
      <c r="B72" s="9" t="str">
        <f>=样本清单!B72</f>
        <v>M3</v>
      </c>
      <c r="C72" s="9" t="str">
        <f>=样本清单!C72</f>
        <v>MAI-Image-2.5-Pro</v>
      </c>
      <c r="D72" s="9" t="str">
        <f>=样本清单!D72</f>
        <v>P2</v>
      </c>
      <c r="E72" s="9">
        <f>=样本清单!F72</f>
        <v>8</v>
      </c>
      <c r="F72" s="8">
        <v>1</v>
      </c>
      <c r="G72" s="8">
        <v>1</v>
      </c>
      <c r="H72" s="8">
        <v>2</v>
      </c>
      <c r="I72" s="8">
        <v>1</v>
      </c>
      <c r="J72" s="8">
        <v>1</v>
      </c>
      <c r="K72" s="8">
        <v>2</v>
      </c>
      <c r="L72" s="8">
        <v>2</v>
      </c>
      <c r="M72" s="8">
        <v>2</v>
      </c>
      <c r="N72" s="8" t="s">
        <v>607</v>
      </c>
      <c r="O72" s="8">
        <v>2</v>
      </c>
      <c r="P72" s="8">
        <v>0</v>
      </c>
      <c r="Q72" s="8">
        <v>0</v>
      </c>
      <c r="R72" s="8">
        <v>0</v>
      </c>
      <c r="S72" s="8">
        <v>2</v>
      </c>
      <c r="T72" s="8">
        <v>2</v>
      </c>
      <c r="U72" s="8">
        <v>2</v>
      </c>
      <c r="V72" s="8">
        <v>2</v>
      </c>
      <c r="W72" s="8">
        <v>2</v>
      </c>
      <c r="X72" s="8">
        <v>1</v>
      </c>
      <c r="Y72" s="8" t="s"/>
      <c r="Z72" s="5" t="s"/>
    </row>
    <row r="73" spans="1:26">
      <c r="A73" s="9" t="str">
        <f>=样本清单!A73</f>
        <v>M3_P2_09</v>
      </c>
      <c r="B73" s="9" t="str">
        <f>=样本清单!B73</f>
        <v>M3</v>
      </c>
      <c r="C73" s="9" t="str">
        <f>=样本清单!C73</f>
        <v>MAI-Image-2.5-Pro</v>
      </c>
      <c r="D73" s="9" t="str">
        <f>=样本清单!D73</f>
        <v>P2</v>
      </c>
      <c r="E73" s="9">
        <f>=样本清单!F73</f>
        <v>9</v>
      </c>
      <c r="F73" s="8">
        <v>2</v>
      </c>
      <c r="G73" s="8">
        <v>1</v>
      </c>
      <c r="H73" s="8">
        <v>2</v>
      </c>
      <c r="I73" s="8">
        <v>1</v>
      </c>
      <c r="J73" s="8">
        <v>2</v>
      </c>
      <c r="K73" s="8">
        <v>2</v>
      </c>
      <c r="L73" s="8">
        <v>2</v>
      </c>
      <c r="M73" s="8">
        <v>2</v>
      </c>
      <c r="N73" s="8" t="s">
        <v>607</v>
      </c>
      <c r="O73" s="8">
        <v>2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2</v>
      </c>
      <c r="V73" s="8">
        <v>2</v>
      </c>
      <c r="W73" s="8">
        <v>2</v>
      </c>
      <c r="X73" s="8">
        <v>2</v>
      </c>
      <c r="Y73" s="8" t="s"/>
      <c r="Z73" s="5" t="s"/>
    </row>
    <row r="74" spans="1:26">
      <c r="A74" s="9" t="str">
        <f>=样本清单!A74</f>
        <v>M3_P3_01</v>
      </c>
      <c r="B74" s="9" t="str">
        <f>=样本清单!B74</f>
        <v>M3</v>
      </c>
      <c r="C74" s="9" t="str">
        <f>=样本清单!C74</f>
        <v>MAI-Image-2.5-Pro</v>
      </c>
      <c r="D74" s="9" t="str">
        <f>=样本清单!D74</f>
        <v>P3</v>
      </c>
      <c r="E74" s="9">
        <f>=样本清单!F74</f>
        <v>1</v>
      </c>
      <c r="F74" s="8">
        <v>2</v>
      </c>
      <c r="G74" s="8">
        <v>1</v>
      </c>
      <c r="H74" s="8">
        <v>2</v>
      </c>
      <c r="I74" s="8">
        <v>2</v>
      </c>
      <c r="J74" s="8">
        <v>2</v>
      </c>
      <c r="K74" s="8">
        <v>2</v>
      </c>
      <c r="L74" s="8">
        <v>2</v>
      </c>
      <c r="M74" s="8">
        <v>2</v>
      </c>
      <c r="N74" s="8">
        <v>1</v>
      </c>
      <c r="O74" s="8">
        <v>2</v>
      </c>
      <c r="P74" s="8">
        <v>0</v>
      </c>
      <c r="Q74" s="8">
        <v>0</v>
      </c>
      <c r="R74" s="8">
        <v>1</v>
      </c>
      <c r="S74" s="8">
        <v>2</v>
      </c>
      <c r="T74" s="8">
        <v>2</v>
      </c>
      <c r="U74" s="8">
        <v>2</v>
      </c>
      <c r="V74" s="8">
        <v>2</v>
      </c>
      <c r="W74" s="8">
        <v>2</v>
      </c>
      <c r="X74" s="8">
        <v>2</v>
      </c>
      <c r="Y74" s="8" t="s"/>
      <c r="Z74" s="5" t="s"/>
    </row>
    <row r="75" spans="1:26">
      <c r="A75" s="9" t="str">
        <f>=样本清单!A75</f>
        <v>M3_P3_02</v>
      </c>
      <c r="B75" s="9" t="str">
        <f>=样本清单!B75</f>
        <v>M3</v>
      </c>
      <c r="C75" s="9" t="str">
        <f>=样本清单!C75</f>
        <v>MAI-Image-2.5-Pro</v>
      </c>
      <c r="D75" s="9" t="str">
        <f>=样本清单!D75</f>
        <v>P3</v>
      </c>
      <c r="E75" s="9">
        <f>=样本清单!F75</f>
        <v>2</v>
      </c>
      <c r="F75" s="8">
        <v>2</v>
      </c>
      <c r="G75" s="8">
        <v>1</v>
      </c>
      <c r="H75" s="8">
        <v>2</v>
      </c>
      <c r="I75" s="8">
        <v>1</v>
      </c>
      <c r="J75" s="8">
        <v>2</v>
      </c>
      <c r="K75" s="8">
        <v>2</v>
      </c>
      <c r="L75" s="8">
        <v>2</v>
      </c>
      <c r="M75" s="8">
        <v>2</v>
      </c>
      <c r="N75" s="8">
        <v>1</v>
      </c>
      <c r="O75" s="8">
        <v>2</v>
      </c>
      <c r="P75" s="8">
        <v>0</v>
      </c>
      <c r="Q75" s="8">
        <v>0</v>
      </c>
      <c r="R75" s="8">
        <v>0</v>
      </c>
      <c r="S75" s="8">
        <v>2</v>
      </c>
      <c r="T75" s="8">
        <v>2</v>
      </c>
      <c r="U75" s="8">
        <v>2</v>
      </c>
      <c r="V75" s="8">
        <v>2</v>
      </c>
      <c r="W75" s="8">
        <v>2</v>
      </c>
      <c r="X75" s="8">
        <v>2</v>
      </c>
      <c r="Y75" s="8" t="s"/>
      <c r="Z75" s="5" t="s"/>
    </row>
    <row r="76" spans="1:26">
      <c r="A76" s="9" t="str">
        <f>=样本清单!A76</f>
        <v>M3_P3_03</v>
      </c>
      <c r="B76" s="9" t="str">
        <f>=样本清单!B76</f>
        <v>M3</v>
      </c>
      <c r="C76" s="9" t="str">
        <f>=样本清单!C76</f>
        <v>MAI-Image-2.5-Pro</v>
      </c>
      <c r="D76" s="9" t="str">
        <f>=样本清单!D76</f>
        <v>P3</v>
      </c>
      <c r="E76" s="9">
        <f>=样本清单!F76</f>
        <v>3</v>
      </c>
      <c r="F76" s="8">
        <v>2</v>
      </c>
      <c r="G76" s="8">
        <v>1</v>
      </c>
      <c r="H76" s="8">
        <v>2</v>
      </c>
      <c r="I76" s="8">
        <v>1</v>
      </c>
      <c r="J76" s="8">
        <v>1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0</v>
      </c>
      <c r="Q76" s="8">
        <v>1</v>
      </c>
      <c r="R76" s="8">
        <v>1</v>
      </c>
      <c r="S76" s="8">
        <v>2</v>
      </c>
      <c r="T76" s="8">
        <v>2</v>
      </c>
      <c r="U76" s="8">
        <v>2</v>
      </c>
      <c r="V76" s="8">
        <v>2</v>
      </c>
      <c r="W76" s="8">
        <v>2</v>
      </c>
      <c r="X76" s="8">
        <v>2</v>
      </c>
      <c r="Y76" s="8" t="s"/>
      <c r="Z76" s="5" t="s"/>
    </row>
    <row r="77" spans="1:26">
      <c r="A77" s="9" t="str">
        <f>=样本清单!A77</f>
        <v>M3_P3_04</v>
      </c>
      <c r="B77" s="9" t="str">
        <f>=样本清单!B77</f>
        <v>M3</v>
      </c>
      <c r="C77" s="9" t="str">
        <f>=样本清单!C77</f>
        <v>MAI-Image-2.5-Pro</v>
      </c>
      <c r="D77" s="9" t="str">
        <f>=样本清单!D77</f>
        <v>P3</v>
      </c>
      <c r="E77" s="9">
        <f>=样本清单!F77</f>
        <v>4</v>
      </c>
      <c r="F77" s="8">
        <v>2</v>
      </c>
      <c r="G77" s="8">
        <v>1</v>
      </c>
      <c r="H77" s="8">
        <v>2</v>
      </c>
      <c r="I77" s="8">
        <v>1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0</v>
      </c>
      <c r="Q77" s="8">
        <v>0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8">
        <v>2</v>
      </c>
      <c r="X77" s="8">
        <v>2</v>
      </c>
      <c r="Y77" s="8" t="s"/>
      <c r="Z77" s="5" t="s"/>
    </row>
    <row r="78" spans="1:26">
      <c r="A78" s="9" t="str">
        <f>=样本清单!A78</f>
        <v>M3_P3_05</v>
      </c>
      <c r="B78" s="9" t="str">
        <f>=样本清单!B78</f>
        <v>M3</v>
      </c>
      <c r="C78" s="9" t="str">
        <f>=样本清单!C78</f>
        <v>MAI-Image-2.5-Pro</v>
      </c>
      <c r="D78" s="9" t="str">
        <f>=样本清单!D78</f>
        <v>P3</v>
      </c>
      <c r="E78" s="9">
        <f>=样本清单!F78</f>
        <v>5</v>
      </c>
      <c r="F78" s="8">
        <v>2</v>
      </c>
      <c r="G78" s="8">
        <v>1</v>
      </c>
      <c r="H78" s="8">
        <v>2</v>
      </c>
      <c r="I78" s="8">
        <v>1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1</v>
      </c>
      <c r="P78" s="8">
        <v>0</v>
      </c>
      <c r="Q78" s="8">
        <v>0</v>
      </c>
      <c r="R78" s="8">
        <v>0</v>
      </c>
      <c r="S78" s="8">
        <v>2</v>
      </c>
      <c r="T78" s="8">
        <v>1</v>
      </c>
      <c r="U78" s="8">
        <v>1</v>
      </c>
      <c r="V78" s="8">
        <v>1</v>
      </c>
      <c r="W78" s="8">
        <v>2</v>
      </c>
      <c r="X78" s="8">
        <v>2</v>
      </c>
      <c r="Y78" s="8" t="s"/>
      <c r="Z78" s="5" t="s"/>
    </row>
    <row r="79" spans="1:26">
      <c r="A79" s="9" t="str">
        <f>=样本清单!A79</f>
        <v>M3_P3_06</v>
      </c>
      <c r="B79" s="9" t="str">
        <f>=样本清单!B79</f>
        <v>M3</v>
      </c>
      <c r="C79" s="9" t="str">
        <f>=样本清单!C79</f>
        <v>MAI-Image-2.5-Pro</v>
      </c>
      <c r="D79" s="9" t="str">
        <f>=样本清单!D79</f>
        <v>P3</v>
      </c>
      <c r="E79" s="9">
        <f>=样本清单!F79</f>
        <v>6</v>
      </c>
      <c r="F79" s="8">
        <v>2</v>
      </c>
      <c r="G79" s="8">
        <v>2</v>
      </c>
      <c r="H79" s="8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0</v>
      </c>
      <c r="Q79" s="8">
        <v>0</v>
      </c>
      <c r="R79" s="8">
        <v>2</v>
      </c>
      <c r="S79" s="8">
        <v>2</v>
      </c>
      <c r="T79" s="8">
        <v>2</v>
      </c>
      <c r="U79" s="8">
        <v>2</v>
      </c>
      <c r="V79" s="8">
        <v>2</v>
      </c>
      <c r="W79" s="8">
        <v>2</v>
      </c>
      <c r="X79" s="8">
        <v>2</v>
      </c>
      <c r="Y79" s="8" t="s"/>
      <c r="Z79" s="5" t="s"/>
    </row>
    <row r="80" spans="1:26">
      <c r="A80" s="9" t="str">
        <f>=样本清单!A80</f>
        <v>M3_P3_07</v>
      </c>
      <c r="B80" s="9" t="str">
        <f>=样本清单!B80</f>
        <v>M3</v>
      </c>
      <c r="C80" s="9" t="str">
        <f>=样本清单!C80</f>
        <v>MAI-Image-2.5-Pro</v>
      </c>
      <c r="D80" s="9" t="str">
        <f>=样本清单!D80</f>
        <v>P3</v>
      </c>
      <c r="E80" s="9">
        <f>=样本清单!F80</f>
        <v>7</v>
      </c>
      <c r="F80" s="8">
        <v>1</v>
      </c>
      <c r="G80" s="8">
        <v>1</v>
      </c>
      <c r="H80" s="8">
        <v>2</v>
      </c>
      <c r="I80" s="8">
        <v>2</v>
      </c>
      <c r="J80" s="8">
        <v>2</v>
      </c>
      <c r="K80" s="8">
        <v>2</v>
      </c>
      <c r="L80" s="8" t="s">
        <v>607</v>
      </c>
      <c r="M80" s="8">
        <v>2</v>
      </c>
      <c r="N80" s="8">
        <v>2</v>
      </c>
      <c r="O80" s="8">
        <v>2</v>
      </c>
      <c r="P80" s="8">
        <v>0</v>
      </c>
      <c r="Q80" s="8">
        <v>0</v>
      </c>
      <c r="R80" s="8">
        <v>1</v>
      </c>
      <c r="S80" s="8">
        <v>2</v>
      </c>
      <c r="T80" s="8">
        <v>2</v>
      </c>
      <c r="U80" s="8">
        <v>2</v>
      </c>
      <c r="V80" s="8">
        <v>1</v>
      </c>
      <c r="W80" s="8">
        <v>2</v>
      </c>
      <c r="X80" s="8">
        <v>2</v>
      </c>
      <c r="Y80" s="8" t="s"/>
      <c r="Z80" s="5" t="s"/>
    </row>
    <row r="81" spans="1:26">
      <c r="A81" s="9" t="str">
        <f>=样本清单!A81</f>
        <v>M3_P3_08</v>
      </c>
      <c r="B81" s="9" t="str">
        <f>=样本清单!B81</f>
        <v>M3</v>
      </c>
      <c r="C81" s="9" t="str">
        <f>=样本清单!C81</f>
        <v>MAI-Image-2.5-Pro</v>
      </c>
      <c r="D81" s="9" t="str">
        <f>=样本清单!D81</f>
        <v>P3</v>
      </c>
      <c r="E81" s="9">
        <f>=样本清单!F81</f>
        <v>8</v>
      </c>
      <c r="F81" s="8">
        <v>2</v>
      </c>
      <c r="G81" s="8">
        <v>2</v>
      </c>
      <c r="H81" s="8">
        <v>2</v>
      </c>
      <c r="I81" s="8">
        <v>2</v>
      </c>
      <c r="J81" s="8">
        <v>2</v>
      </c>
      <c r="K81" s="8">
        <v>2</v>
      </c>
      <c r="L81" s="8">
        <v>2</v>
      </c>
      <c r="M81" s="8">
        <v>2</v>
      </c>
      <c r="N81" s="8">
        <v>1</v>
      </c>
      <c r="O81" s="8">
        <v>2</v>
      </c>
      <c r="P81" s="8">
        <v>1</v>
      </c>
      <c r="Q81" s="8">
        <v>1</v>
      </c>
      <c r="R81" s="8">
        <v>2</v>
      </c>
      <c r="S81" s="8">
        <v>2</v>
      </c>
      <c r="T81" s="8">
        <v>2</v>
      </c>
      <c r="U81" s="8">
        <v>2</v>
      </c>
      <c r="V81" s="8">
        <v>2</v>
      </c>
      <c r="W81" s="8">
        <v>2</v>
      </c>
      <c r="X81" s="8">
        <v>2</v>
      </c>
      <c r="Y81" s="8" t="s"/>
      <c r="Z81" s="5" t="s"/>
    </row>
    <row r="82" spans="1:26">
      <c r="A82" s="9" t="str">
        <f>=样本清单!A82</f>
        <v>M3_P3_09</v>
      </c>
      <c r="B82" s="9" t="str">
        <f>=样本清单!B82</f>
        <v>M3</v>
      </c>
      <c r="C82" s="9" t="str">
        <f>=样本清单!C82</f>
        <v>MAI-Image-2.5-Pro</v>
      </c>
      <c r="D82" s="9" t="str">
        <f>=样本清单!D82</f>
        <v>P3</v>
      </c>
      <c r="E82" s="9">
        <f>=样本清单!F82</f>
        <v>9</v>
      </c>
      <c r="F82" s="8">
        <v>2</v>
      </c>
      <c r="G82" s="8">
        <v>2</v>
      </c>
      <c r="H82" s="8">
        <v>2</v>
      </c>
      <c r="I82" s="8">
        <v>1</v>
      </c>
      <c r="J82" s="8">
        <v>1</v>
      </c>
      <c r="K82" s="8">
        <v>2</v>
      </c>
      <c r="L82" s="8">
        <v>2</v>
      </c>
      <c r="M82" s="8">
        <v>2</v>
      </c>
      <c r="N82" s="8">
        <v>2</v>
      </c>
      <c r="O82" s="8">
        <v>2</v>
      </c>
      <c r="P82" s="8">
        <v>0</v>
      </c>
      <c r="Q82" s="8">
        <v>0</v>
      </c>
      <c r="R82" s="8">
        <v>2</v>
      </c>
      <c r="S82" s="8">
        <v>2</v>
      </c>
      <c r="T82" s="8">
        <v>1</v>
      </c>
      <c r="U82" s="8">
        <v>2</v>
      </c>
      <c r="V82" s="8">
        <v>2</v>
      </c>
      <c r="W82" s="8">
        <v>2</v>
      </c>
      <c r="X82" s="8">
        <v>2</v>
      </c>
      <c r="Y82" s="8" t="s"/>
      <c r="Z82" s="5" t="s"/>
    </row>
    <row r="83" spans="1:26">
      <c r="A83" s="9" t="str">
        <f>=样本清单!A83</f>
        <v>M4_P1_01</v>
      </c>
      <c r="B83" s="9" t="str">
        <f>=样本清单!B83</f>
        <v>M4</v>
      </c>
      <c r="C83" s="9" t="str">
        <f>=样本清单!C83</f>
        <v>Reve 2.1</v>
      </c>
      <c r="D83" s="9" t="str">
        <f>=样本清单!D83</f>
        <v>P1</v>
      </c>
      <c r="E83" s="9">
        <f>=样本清单!F83</f>
        <v>1</v>
      </c>
      <c r="F83" s="8">
        <v>0</v>
      </c>
      <c r="G83" s="8">
        <v>0</v>
      </c>
      <c r="H83" s="8">
        <v>1</v>
      </c>
      <c r="I83" s="8">
        <v>0</v>
      </c>
      <c r="J83" s="8">
        <v>0</v>
      </c>
      <c r="K83" s="8">
        <v>2</v>
      </c>
      <c r="L83" s="8">
        <v>1</v>
      </c>
      <c r="M83" s="8">
        <v>1</v>
      </c>
      <c r="N83" s="8" t="s">
        <v>607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1</v>
      </c>
      <c r="X83" s="8">
        <v>1</v>
      </c>
      <c r="Y83" s="8" t="s"/>
      <c r="Z83" s="5" t="s"/>
    </row>
    <row r="84" spans="1:26">
      <c r="A84" s="9" t="str">
        <f>=样本清单!A84</f>
        <v>M4_P1_02</v>
      </c>
      <c r="B84" s="9" t="str">
        <f>=样本清单!B84</f>
        <v>M4</v>
      </c>
      <c r="C84" s="9" t="str">
        <f>=样本清单!C84</f>
        <v>Reve 2.1</v>
      </c>
      <c r="D84" s="9" t="str">
        <f>=样本清单!D84</f>
        <v>P1</v>
      </c>
      <c r="E84" s="9">
        <f>=样本清单!F84</f>
        <v>2</v>
      </c>
      <c r="F84" s="8">
        <v>1</v>
      </c>
      <c r="G84" s="8">
        <v>0</v>
      </c>
      <c r="H84" s="8">
        <v>1</v>
      </c>
      <c r="I84" s="8">
        <v>0</v>
      </c>
      <c r="J84" s="8">
        <v>0</v>
      </c>
      <c r="K84" s="8">
        <v>2</v>
      </c>
      <c r="L84" s="8">
        <v>1</v>
      </c>
      <c r="M84" s="8">
        <v>1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1</v>
      </c>
      <c r="V84" s="8">
        <v>1</v>
      </c>
      <c r="W84" s="8">
        <v>0</v>
      </c>
      <c r="X84" s="8">
        <v>1</v>
      </c>
      <c r="Y84" s="8" t="s"/>
      <c r="Z84" s="5" t="s"/>
    </row>
    <row r="85" spans="1:26">
      <c r="A85" s="9" t="str">
        <f>=样本清单!A85</f>
        <v>M4_P1_03</v>
      </c>
      <c r="B85" s="9" t="str">
        <f>=样本清单!B85</f>
        <v>M4</v>
      </c>
      <c r="C85" s="9" t="str">
        <f>=样本清单!C85</f>
        <v>Reve 2.1</v>
      </c>
      <c r="D85" s="9" t="str">
        <f>=样本清单!D85</f>
        <v>P1</v>
      </c>
      <c r="E85" s="9">
        <f>=样本清单!F85</f>
        <v>3</v>
      </c>
      <c r="F85" s="8">
        <v>1</v>
      </c>
      <c r="G85" s="8">
        <v>0</v>
      </c>
      <c r="H85" s="8">
        <v>1</v>
      </c>
      <c r="I85" s="8">
        <v>1</v>
      </c>
      <c r="J85" s="8">
        <v>1</v>
      </c>
      <c r="K85" s="8">
        <v>2</v>
      </c>
      <c r="L85" s="8">
        <v>1</v>
      </c>
      <c r="M85" s="8">
        <v>1</v>
      </c>
      <c r="N85" s="8">
        <v>2</v>
      </c>
      <c r="O85" s="8">
        <v>0</v>
      </c>
      <c r="P85" s="8">
        <v>0</v>
      </c>
      <c r="Q85" s="8">
        <v>0</v>
      </c>
      <c r="R85" s="8">
        <v>0</v>
      </c>
      <c r="S85" s="8">
        <v>1</v>
      </c>
      <c r="T85" s="8">
        <v>0</v>
      </c>
      <c r="U85" s="8">
        <v>1</v>
      </c>
      <c r="V85" s="8">
        <v>1</v>
      </c>
      <c r="W85" s="8">
        <v>2</v>
      </c>
      <c r="X85" s="8">
        <v>1</v>
      </c>
      <c r="Y85" s="8" t="s"/>
      <c r="Z85" s="5" t="s"/>
    </row>
    <row r="86" spans="1:26">
      <c r="A86" s="9" t="str">
        <f>=样本清单!A86</f>
        <v>M4_P1_04</v>
      </c>
      <c r="B86" s="9" t="str">
        <f>=样本清单!B86</f>
        <v>M4</v>
      </c>
      <c r="C86" s="9" t="str">
        <f>=样本清单!C86</f>
        <v>Reve 2.1</v>
      </c>
      <c r="D86" s="9" t="str">
        <f>=样本清单!D86</f>
        <v>P1</v>
      </c>
      <c r="E86" s="9">
        <f>=样本清单!F86</f>
        <v>4</v>
      </c>
      <c r="F86" s="8">
        <v>1</v>
      </c>
      <c r="G86" s="8">
        <v>0</v>
      </c>
      <c r="H86" s="8">
        <v>1</v>
      </c>
      <c r="I86" s="8">
        <v>1</v>
      </c>
      <c r="J86" s="8">
        <v>2</v>
      </c>
      <c r="K86" s="8">
        <v>2</v>
      </c>
      <c r="L86" s="8">
        <v>2</v>
      </c>
      <c r="M86" s="8">
        <v>2</v>
      </c>
      <c r="N86" s="8">
        <v>1</v>
      </c>
      <c r="O86" s="8">
        <v>1</v>
      </c>
      <c r="P86" s="8">
        <v>0</v>
      </c>
      <c r="Q86" s="8">
        <v>0</v>
      </c>
      <c r="R86" s="8">
        <v>0</v>
      </c>
      <c r="S86" s="8">
        <v>1</v>
      </c>
      <c r="T86" s="8">
        <v>1</v>
      </c>
      <c r="U86" s="8">
        <v>1</v>
      </c>
      <c r="V86" s="8">
        <v>1</v>
      </c>
      <c r="W86" s="8">
        <v>2</v>
      </c>
      <c r="X86" s="8">
        <v>1</v>
      </c>
      <c r="Y86" s="8" t="s"/>
      <c r="Z86" s="5" t="s"/>
    </row>
    <row r="87" spans="1:26">
      <c r="A87" s="9" t="str">
        <f>=样本清单!A87</f>
        <v>M4_P1_05</v>
      </c>
      <c r="B87" s="9" t="str">
        <f>=样本清单!B87</f>
        <v>M4</v>
      </c>
      <c r="C87" s="9" t="str">
        <f>=样本清单!C87</f>
        <v>Reve 2.1</v>
      </c>
      <c r="D87" s="9" t="str">
        <f>=样本清单!D87</f>
        <v>P1</v>
      </c>
      <c r="E87" s="9">
        <f>=样本清单!F87</f>
        <v>5</v>
      </c>
      <c r="F87" s="8">
        <v>1</v>
      </c>
      <c r="G87" s="8">
        <v>0</v>
      </c>
      <c r="H87" s="8">
        <v>0</v>
      </c>
      <c r="I87" s="8">
        <v>1</v>
      </c>
      <c r="J87" s="8">
        <v>1</v>
      </c>
      <c r="K87" s="8">
        <v>1</v>
      </c>
      <c r="L87" s="8" t="s">
        <v>607</v>
      </c>
      <c r="M87" s="8">
        <v>2</v>
      </c>
      <c r="N87" s="8">
        <v>2</v>
      </c>
      <c r="O87" s="8">
        <v>2</v>
      </c>
      <c r="P87" s="8">
        <v>0</v>
      </c>
      <c r="Q87" s="8">
        <v>0</v>
      </c>
      <c r="R87" s="8">
        <v>0</v>
      </c>
      <c r="S87" s="8">
        <v>2</v>
      </c>
      <c r="T87" s="8">
        <v>1</v>
      </c>
      <c r="U87" s="8">
        <v>2</v>
      </c>
      <c r="V87" s="8">
        <v>1</v>
      </c>
      <c r="W87" s="8">
        <v>2</v>
      </c>
      <c r="X87" s="8">
        <v>1</v>
      </c>
      <c r="Y87" s="8" t="s"/>
      <c r="Z87" s="5" t="s"/>
    </row>
    <row r="88" spans="1:26">
      <c r="A88" s="9" t="str">
        <f>=样本清单!A88</f>
        <v>M4_P1_06</v>
      </c>
      <c r="B88" s="9" t="str">
        <f>=样本清单!B88</f>
        <v>M4</v>
      </c>
      <c r="C88" s="9" t="str">
        <f>=样本清单!C88</f>
        <v>Reve 2.1</v>
      </c>
      <c r="D88" s="9" t="str">
        <f>=样本清单!D88</f>
        <v>P1</v>
      </c>
      <c r="E88" s="9">
        <f>=样本清单!F88</f>
        <v>6</v>
      </c>
      <c r="F88" s="8">
        <v>1</v>
      </c>
      <c r="G88" s="8">
        <v>0</v>
      </c>
      <c r="H88" s="8">
        <v>1</v>
      </c>
      <c r="I88" s="8">
        <v>0</v>
      </c>
      <c r="J88" s="8">
        <v>1</v>
      </c>
      <c r="K88" s="8">
        <v>2</v>
      </c>
      <c r="L88" s="8">
        <v>1</v>
      </c>
      <c r="M88" s="8">
        <v>2</v>
      </c>
      <c r="N88" s="8">
        <v>2</v>
      </c>
      <c r="O88" s="8">
        <v>1</v>
      </c>
      <c r="P88" s="8">
        <v>0</v>
      </c>
      <c r="Q88" s="8">
        <v>0</v>
      </c>
      <c r="R88" s="8">
        <v>0</v>
      </c>
      <c r="S88" s="8">
        <v>2</v>
      </c>
      <c r="T88" s="8">
        <v>1</v>
      </c>
      <c r="U88" s="8">
        <v>1</v>
      </c>
      <c r="V88" s="8">
        <v>1</v>
      </c>
      <c r="W88" s="8">
        <v>1</v>
      </c>
      <c r="X88" s="8">
        <v>2</v>
      </c>
      <c r="Y88" s="8" t="s"/>
      <c r="Z88" s="5" t="s"/>
    </row>
    <row r="89" spans="1:26">
      <c r="A89" s="9" t="str">
        <f>=样本清单!A89</f>
        <v>M4_P1_07</v>
      </c>
      <c r="B89" s="9" t="str">
        <f>=样本清单!B89</f>
        <v>M4</v>
      </c>
      <c r="C89" s="9" t="str">
        <f>=样本清单!C89</f>
        <v>Reve 2.1</v>
      </c>
      <c r="D89" s="9" t="str">
        <f>=样本清单!D89</f>
        <v>P1</v>
      </c>
      <c r="E89" s="9">
        <f>=样本清单!F89</f>
        <v>7</v>
      </c>
      <c r="F89" s="8">
        <v>0</v>
      </c>
      <c r="G89" s="8">
        <v>0</v>
      </c>
      <c r="H89" s="8">
        <v>1</v>
      </c>
      <c r="I89" s="8">
        <v>2</v>
      </c>
      <c r="J89" s="8">
        <v>2</v>
      </c>
      <c r="K89" s="8">
        <v>2</v>
      </c>
      <c r="L89" s="8">
        <v>1</v>
      </c>
      <c r="M89" s="8">
        <v>2</v>
      </c>
      <c r="N89" s="8" t="s">
        <v>607</v>
      </c>
      <c r="O89" s="8">
        <v>1</v>
      </c>
      <c r="P89" s="8">
        <v>0</v>
      </c>
      <c r="Q89" s="8">
        <v>1</v>
      </c>
      <c r="R89" s="8">
        <v>0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 t="s"/>
      <c r="Z89" s="5" t="s"/>
    </row>
    <row r="90" spans="1:26">
      <c r="A90" s="9" t="str">
        <f>=样本清单!A90</f>
        <v>M4_P1_08</v>
      </c>
      <c r="B90" s="9" t="str">
        <f>=样本清单!B90</f>
        <v>M4</v>
      </c>
      <c r="C90" s="9" t="str">
        <f>=样本清单!C90</f>
        <v>Reve 2.1</v>
      </c>
      <c r="D90" s="9" t="str">
        <f>=样本清单!D90</f>
        <v>P1</v>
      </c>
      <c r="E90" s="9">
        <f>=样本清单!F90</f>
        <v>8</v>
      </c>
      <c r="F90" s="8">
        <v>2</v>
      </c>
      <c r="G90" s="8">
        <v>0</v>
      </c>
      <c r="H90" s="8">
        <v>1</v>
      </c>
      <c r="I90" s="8">
        <v>0</v>
      </c>
      <c r="J90" s="8">
        <v>1</v>
      </c>
      <c r="K90" s="8">
        <v>2</v>
      </c>
      <c r="L90" s="8">
        <v>1</v>
      </c>
      <c r="M90" s="8">
        <v>1</v>
      </c>
      <c r="N90" s="8" t="s">
        <v>607</v>
      </c>
      <c r="O90" s="8">
        <v>0</v>
      </c>
      <c r="P90" s="8">
        <v>0</v>
      </c>
      <c r="Q90" s="8">
        <v>0</v>
      </c>
      <c r="R90" s="8">
        <v>0</v>
      </c>
      <c r="S90" s="8">
        <v>1</v>
      </c>
      <c r="T90" s="8">
        <v>1</v>
      </c>
      <c r="U90" s="8">
        <v>1</v>
      </c>
      <c r="V90" s="8">
        <v>1</v>
      </c>
      <c r="W90" s="8">
        <v>2</v>
      </c>
      <c r="X90" s="8">
        <v>1</v>
      </c>
      <c r="Y90" s="8" t="s"/>
      <c r="Z90" s="5" t="s"/>
    </row>
    <row r="91" spans="1:26">
      <c r="A91" s="9" t="str">
        <f>=样本清单!A91</f>
        <v>M4_P1_09</v>
      </c>
      <c r="B91" s="9" t="str">
        <f>=样本清单!B91</f>
        <v>M4</v>
      </c>
      <c r="C91" s="9" t="str">
        <f>=样本清单!C91</f>
        <v>Reve 2.1</v>
      </c>
      <c r="D91" s="9" t="str">
        <f>=样本清单!D91</f>
        <v>P1</v>
      </c>
      <c r="E91" s="9">
        <f>=样本清单!F91</f>
        <v>9</v>
      </c>
      <c r="F91" s="8">
        <v>2</v>
      </c>
      <c r="G91" s="8">
        <v>1</v>
      </c>
      <c r="H91" s="8">
        <v>2</v>
      </c>
      <c r="I91" s="8">
        <v>1</v>
      </c>
      <c r="J91" s="8">
        <v>1</v>
      </c>
      <c r="K91" s="8">
        <v>2</v>
      </c>
      <c r="L91" s="8">
        <v>1</v>
      </c>
      <c r="M91" s="8">
        <v>1</v>
      </c>
      <c r="N91" s="8" t="s">
        <v>607</v>
      </c>
      <c r="O91" s="8">
        <v>1</v>
      </c>
      <c r="P91" s="8">
        <v>0</v>
      </c>
      <c r="Q91" s="8">
        <v>0</v>
      </c>
      <c r="R91" s="8">
        <v>0</v>
      </c>
      <c r="S91" s="8">
        <v>1</v>
      </c>
      <c r="T91" s="8">
        <v>2</v>
      </c>
      <c r="U91" s="8">
        <v>1</v>
      </c>
      <c r="V91" s="8">
        <v>1</v>
      </c>
      <c r="W91" s="8">
        <v>1</v>
      </c>
      <c r="X91" s="8">
        <v>1</v>
      </c>
      <c r="Y91" s="8" t="s"/>
      <c r="Z91" s="5" t="s"/>
    </row>
    <row r="92" spans="1:26">
      <c r="A92" s="9" t="str">
        <f>=样本清单!A92</f>
        <v>M4_P2_01</v>
      </c>
      <c r="B92" s="9" t="str">
        <f>=样本清单!B92</f>
        <v>M4</v>
      </c>
      <c r="C92" s="9" t="str">
        <f>=样本清单!C92</f>
        <v>Reve 2.1</v>
      </c>
      <c r="D92" s="9" t="str">
        <f>=样本清单!D92</f>
        <v>P2</v>
      </c>
      <c r="E92" s="9">
        <f>=样本清单!F92</f>
        <v>1</v>
      </c>
      <c r="F92" s="8">
        <v>1</v>
      </c>
      <c r="G92" s="8">
        <v>0</v>
      </c>
      <c r="H92" s="8">
        <v>1</v>
      </c>
      <c r="I92" s="8">
        <v>1</v>
      </c>
      <c r="J92" s="8">
        <v>2</v>
      </c>
      <c r="K92" s="8">
        <v>2</v>
      </c>
      <c r="L92" s="8">
        <v>2</v>
      </c>
      <c r="M92" s="8">
        <v>2</v>
      </c>
      <c r="N92" s="8" t="s">
        <v>607</v>
      </c>
      <c r="O92" s="8">
        <v>2</v>
      </c>
      <c r="P92" s="8">
        <v>0</v>
      </c>
      <c r="Q92" s="8">
        <v>0</v>
      </c>
      <c r="R92" s="8">
        <v>0</v>
      </c>
      <c r="S92" s="8">
        <v>2</v>
      </c>
      <c r="T92" s="8">
        <v>1</v>
      </c>
      <c r="U92" s="8">
        <v>1</v>
      </c>
      <c r="V92" s="8">
        <v>1</v>
      </c>
      <c r="W92" s="8">
        <v>2</v>
      </c>
      <c r="X92" s="8">
        <v>1</v>
      </c>
      <c r="Y92" s="8" t="s"/>
      <c r="Z92" s="5" t="s"/>
    </row>
    <row r="93" spans="1:26">
      <c r="A93" s="9" t="str">
        <f>=样本清单!A93</f>
        <v>M4_P2_02</v>
      </c>
      <c r="B93" s="9" t="str">
        <f>=样本清单!B93</f>
        <v>M4</v>
      </c>
      <c r="C93" s="9" t="str">
        <f>=样本清单!C93</f>
        <v>Reve 2.1</v>
      </c>
      <c r="D93" s="9" t="str">
        <f>=样本清单!D93</f>
        <v>P2</v>
      </c>
      <c r="E93" s="9">
        <f>=样本清单!F93</f>
        <v>2</v>
      </c>
      <c r="F93" s="8">
        <v>1</v>
      </c>
      <c r="G93" s="8">
        <v>0</v>
      </c>
      <c r="H93" s="8">
        <v>2</v>
      </c>
      <c r="I93" s="8">
        <v>0</v>
      </c>
      <c r="J93" s="8">
        <v>0</v>
      </c>
      <c r="K93" s="8">
        <v>2</v>
      </c>
      <c r="L93" s="8">
        <v>2</v>
      </c>
      <c r="M93" s="8">
        <v>2</v>
      </c>
      <c r="N93" s="8" t="s">
        <v>607</v>
      </c>
      <c r="O93" s="8">
        <v>2</v>
      </c>
      <c r="P93" s="8">
        <v>0</v>
      </c>
      <c r="Q93" s="8">
        <v>0</v>
      </c>
      <c r="R93" s="8">
        <v>0</v>
      </c>
      <c r="S93" s="8">
        <v>2</v>
      </c>
      <c r="T93" s="8">
        <v>0</v>
      </c>
      <c r="U93" s="8">
        <v>0</v>
      </c>
      <c r="V93" s="8">
        <v>1</v>
      </c>
      <c r="W93" s="8">
        <v>2</v>
      </c>
      <c r="X93" s="8">
        <v>1</v>
      </c>
      <c r="Y93" s="8" t="s"/>
      <c r="Z93" s="5" t="s"/>
    </row>
    <row r="94" spans="1:26">
      <c r="A94" s="9" t="str">
        <f>=样本清单!A94</f>
        <v>M4_P2_03</v>
      </c>
      <c r="B94" s="9" t="str">
        <f>=样本清单!B94</f>
        <v>M4</v>
      </c>
      <c r="C94" s="9" t="str">
        <f>=样本清单!C94</f>
        <v>Reve 2.1</v>
      </c>
      <c r="D94" s="9" t="str">
        <f>=样本清单!D94</f>
        <v>P2</v>
      </c>
      <c r="E94" s="9">
        <f>=样本清单!F94</f>
        <v>3</v>
      </c>
      <c r="F94" s="8">
        <v>1</v>
      </c>
      <c r="G94" s="8">
        <v>0</v>
      </c>
      <c r="H94" s="8">
        <v>1</v>
      </c>
      <c r="I94" s="8">
        <v>1</v>
      </c>
      <c r="J94" s="8">
        <v>2</v>
      </c>
      <c r="K94" s="8">
        <v>2</v>
      </c>
      <c r="L94" s="8">
        <v>2</v>
      </c>
      <c r="M94" s="8">
        <v>2</v>
      </c>
      <c r="N94" s="8" t="s">
        <v>607</v>
      </c>
      <c r="O94" s="8">
        <v>2</v>
      </c>
      <c r="P94" s="8">
        <v>0</v>
      </c>
      <c r="Q94" s="8">
        <v>0</v>
      </c>
      <c r="R94" s="8">
        <v>0</v>
      </c>
      <c r="S94" s="8">
        <v>2</v>
      </c>
      <c r="T94" s="8">
        <v>1</v>
      </c>
      <c r="U94" s="8">
        <v>1</v>
      </c>
      <c r="V94" s="8">
        <v>1</v>
      </c>
      <c r="W94" s="8">
        <v>2</v>
      </c>
      <c r="X94" s="8">
        <v>1</v>
      </c>
      <c r="Y94" s="8" t="s"/>
      <c r="Z94" s="5" t="s"/>
    </row>
    <row r="95" spans="1:26">
      <c r="A95" s="9" t="str">
        <f>=样本清单!A95</f>
        <v>M4_P2_04</v>
      </c>
      <c r="B95" s="9" t="str">
        <f>=样本清单!B95</f>
        <v>M4</v>
      </c>
      <c r="C95" s="9" t="str">
        <f>=样本清单!C95</f>
        <v>Reve 2.1</v>
      </c>
      <c r="D95" s="9" t="str">
        <f>=样本清单!D95</f>
        <v>P2</v>
      </c>
      <c r="E95" s="9">
        <f>=样本清单!F95</f>
        <v>4</v>
      </c>
      <c r="F95" s="8">
        <v>1</v>
      </c>
      <c r="G95" s="8">
        <v>2</v>
      </c>
      <c r="H95" s="8">
        <v>1</v>
      </c>
      <c r="I95" s="8">
        <v>1</v>
      </c>
      <c r="J95" s="8">
        <v>1</v>
      </c>
      <c r="K95" s="8">
        <v>2</v>
      </c>
      <c r="L95" s="8">
        <v>2</v>
      </c>
      <c r="M95" s="8">
        <v>2</v>
      </c>
      <c r="N95" s="8">
        <v>1</v>
      </c>
      <c r="O95" s="8">
        <v>2</v>
      </c>
      <c r="P95" s="8">
        <v>0</v>
      </c>
      <c r="Q95" s="8">
        <v>0</v>
      </c>
      <c r="R95" s="8">
        <v>0</v>
      </c>
      <c r="S95" s="8">
        <v>2</v>
      </c>
      <c r="T95" s="8">
        <v>1</v>
      </c>
      <c r="U95" s="8">
        <v>2</v>
      </c>
      <c r="V95" s="8">
        <v>1</v>
      </c>
      <c r="W95" s="8">
        <v>2</v>
      </c>
      <c r="X95" s="8">
        <v>1</v>
      </c>
      <c r="Y95" s="8" t="s"/>
      <c r="Z95" s="5" t="s"/>
    </row>
    <row r="96" spans="1:26">
      <c r="A96" s="9" t="str">
        <f>=样本清单!A96</f>
        <v>M4_P2_05</v>
      </c>
      <c r="B96" s="9" t="str">
        <f>=样本清单!B96</f>
        <v>M4</v>
      </c>
      <c r="C96" s="9" t="str">
        <f>=样本清单!C96</f>
        <v>Reve 2.1</v>
      </c>
      <c r="D96" s="9" t="str">
        <f>=样本清单!D96</f>
        <v>P2</v>
      </c>
      <c r="E96" s="9">
        <f>=样本清单!F96</f>
        <v>5</v>
      </c>
      <c r="F96" s="8">
        <v>1</v>
      </c>
      <c r="G96" s="8">
        <v>1</v>
      </c>
      <c r="H96" s="8">
        <v>1</v>
      </c>
      <c r="I96" s="8">
        <v>1</v>
      </c>
      <c r="J96" s="8">
        <v>2</v>
      </c>
      <c r="K96" s="8">
        <v>2</v>
      </c>
      <c r="L96" s="8">
        <v>2</v>
      </c>
      <c r="M96" s="8">
        <v>2</v>
      </c>
      <c r="N96" s="8" t="s">
        <v>607</v>
      </c>
      <c r="O96" s="8">
        <v>2</v>
      </c>
      <c r="P96" s="8">
        <v>0</v>
      </c>
      <c r="Q96" s="8">
        <v>0</v>
      </c>
      <c r="R96" s="8">
        <v>0</v>
      </c>
      <c r="S96" s="8">
        <v>2</v>
      </c>
      <c r="T96" s="8">
        <v>1</v>
      </c>
      <c r="U96" s="8">
        <v>1</v>
      </c>
      <c r="V96" s="8">
        <v>1</v>
      </c>
      <c r="W96" s="8">
        <v>2</v>
      </c>
      <c r="X96" s="8">
        <v>1</v>
      </c>
      <c r="Y96" s="8" t="s"/>
      <c r="Z96" s="5" t="s"/>
    </row>
    <row r="97" spans="1:26">
      <c r="A97" s="9" t="str">
        <f>=样本清单!A97</f>
        <v>M4_P2_06</v>
      </c>
      <c r="B97" s="9" t="str">
        <f>=样本清单!B97</f>
        <v>M4</v>
      </c>
      <c r="C97" s="9" t="str">
        <f>=样本清单!C97</f>
        <v>Reve 2.1</v>
      </c>
      <c r="D97" s="9" t="str">
        <f>=样本清单!D97</f>
        <v>P2</v>
      </c>
      <c r="E97" s="9">
        <f>=样本清单!F97</f>
        <v>6</v>
      </c>
      <c r="F97" s="8">
        <v>2</v>
      </c>
      <c r="G97" s="8">
        <v>0</v>
      </c>
      <c r="H97" s="8">
        <v>1</v>
      </c>
      <c r="I97" s="8">
        <v>1</v>
      </c>
      <c r="J97" s="8">
        <v>1</v>
      </c>
      <c r="K97" s="8">
        <v>2</v>
      </c>
      <c r="L97" s="8">
        <v>2</v>
      </c>
      <c r="M97" s="8">
        <v>2</v>
      </c>
      <c r="N97" s="8" t="s">
        <v>607</v>
      </c>
      <c r="O97" s="8">
        <v>1</v>
      </c>
      <c r="P97" s="8">
        <v>1</v>
      </c>
      <c r="Q97" s="8">
        <v>0</v>
      </c>
      <c r="R97" s="8">
        <v>1</v>
      </c>
      <c r="S97" s="8">
        <v>2</v>
      </c>
      <c r="T97" s="8">
        <v>1</v>
      </c>
      <c r="U97" s="8">
        <v>1</v>
      </c>
      <c r="V97" s="8">
        <v>1</v>
      </c>
      <c r="W97" s="8">
        <v>2</v>
      </c>
      <c r="X97" s="8">
        <v>2</v>
      </c>
      <c r="Y97" s="8" t="s"/>
      <c r="Z97" s="5" t="s"/>
    </row>
    <row r="98" spans="1:26">
      <c r="A98" s="9" t="str">
        <f>=样本清单!A98</f>
        <v>M4_P2_07</v>
      </c>
      <c r="B98" s="9" t="str">
        <f>=样本清单!B98</f>
        <v>M4</v>
      </c>
      <c r="C98" s="9" t="str">
        <f>=样本清单!C98</f>
        <v>Reve 2.1</v>
      </c>
      <c r="D98" s="9" t="str">
        <f>=样本清单!D98</f>
        <v>P2</v>
      </c>
      <c r="E98" s="9">
        <f>=样本清单!F98</f>
        <v>7</v>
      </c>
      <c r="F98" s="8">
        <v>1</v>
      </c>
      <c r="G98" s="8">
        <v>1</v>
      </c>
      <c r="H98" s="8">
        <v>1</v>
      </c>
      <c r="I98" s="8">
        <v>1</v>
      </c>
      <c r="J98" s="8">
        <v>1</v>
      </c>
      <c r="K98" s="8">
        <v>2</v>
      </c>
      <c r="L98" s="8">
        <v>2</v>
      </c>
      <c r="M98" s="8">
        <v>2</v>
      </c>
      <c r="N98" s="8" t="s">
        <v>607</v>
      </c>
      <c r="O98" s="8">
        <v>2</v>
      </c>
      <c r="P98" s="8">
        <v>0</v>
      </c>
      <c r="Q98" s="8">
        <v>0</v>
      </c>
      <c r="R98" s="8">
        <v>0</v>
      </c>
      <c r="S98" s="8">
        <v>2</v>
      </c>
      <c r="T98" s="8">
        <v>1</v>
      </c>
      <c r="U98" s="8">
        <v>1</v>
      </c>
      <c r="V98" s="8">
        <v>0</v>
      </c>
      <c r="W98" s="8">
        <v>2</v>
      </c>
      <c r="X98" s="8">
        <v>1</v>
      </c>
      <c r="Y98" s="8" t="s"/>
      <c r="Z98" s="5" t="s"/>
    </row>
    <row r="99" spans="1:26">
      <c r="A99" s="9" t="str">
        <f>=样本清单!A99</f>
        <v>M4_P2_08</v>
      </c>
      <c r="B99" s="9" t="str">
        <f>=样本清单!B99</f>
        <v>M4</v>
      </c>
      <c r="C99" s="9" t="str">
        <f>=样本清单!C99</f>
        <v>Reve 2.1</v>
      </c>
      <c r="D99" s="9" t="str">
        <f>=样本清单!D99</f>
        <v>P2</v>
      </c>
      <c r="E99" s="9">
        <f>=样本清单!F99</f>
        <v>8</v>
      </c>
      <c r="F99" s="8">
        <v>1</v>
      </c>
      <c r="G99" s="8">
        <v>1</v>
      </c>
      <c r="H99" s="8">
        <v>1</v>
      </c>
      <c r="I99" s="8">
        <v>2</v>
      </c>
      <c r="J99" s="8">
        <v>2</v>
      </c>
      <c r="K99" s="8">
        <v>2</v>
      </c>
      <c r="L99" s="8">
        <v>2</v>
      </c>
      <c r="M99" s="8">
        <v>2</v>
      </c>
      <c r="N99" s="8" t="s">
        <v>607</v>
      </c>
      <c r="O99" s="8">
        <v>1</v>
      </c>
      <c r="P99" s="8">
        <v>0</v>
      </c>
      <c r="Q99" s="8">
        <v>0</v>
      </c>
      <c r="R99" s="8">
        <v>0</v>
      </c>
      <c r="S99" s="8">
        <v>1</v>
      </c>
      <c r="T99" s="8">
        <v>1</v>
      </c>
      <c r="U99" s="8">
        <v>1</v>
      </c>
      <c r="V99" s="8">
        <v>0</v>
      </c>
      <c r="W99" s="8">
        <v>2</v>
      </c>
      <c r="X99" s="8">
        <v>1</v>
      </c>
      <c r="Y99" s="8" t="s"/>
      <c r="Z99" s="5" t="s"/>
    </row>
    <row r="100" spans="1:26">
      <c r="A100" s="9" t="str">
        <f>=样本清单!A100</f>
        <v>M4_P2_09</v>
      </c>
      <c r="B100" s="9" t="str">
        <f>=样本清单!B100</f>
        <v>M4</v>
      </c>
      <c r="C100" s="9" t="str">
        <f>=样本清单!C100</f>
        <v>Reve 2.1</v>
      </c>
      <c r="D100" s="9" t="str">
        <f>=样本清单!D100</f>
        <v>P2</v>
      </c>
      <c r="E100" s="9">
        <f>=样本清单!F100</f>
        <v>9</v>
      </c>
      <c r="F100" s="8">
        <v>1</v>
      </c>
      <c r="G100" s="8">
        <v>2</v>
      </c>
      <c r="H100" s="8">
        <v>2</v>
      </c>
      <c r="I100" s="8">
        <v>0</v>
      </c>
      <c r="J100" s="8">
        <v>2</v>
      </c>
      <c r="K100" s="8">
        <v>2</v>
      </c>
      <c r="L100" s="8">
        <v>2</v>
      </c>
      <c r="M100" s="8">
        <v>2</v>
      </c>
      <c r="N100" s="8" t="s">
        <v>607</v>
      </c>
      <c r="O100" s="8">
        <v>2</v>
      </c>
      <c r="P100" s="8">
        <v>0</v>
      </c>
      <c r="Q100" s="8">
        <v>0</v>
      </c>
      <c r="R100" s="8">
        <v>0</v>
      </c>
      <c r="S100" s="8">
        <v>2</v>
      </c>
      <c r="T100" s="8">
        <v>1</v>
      </c>
      <c r="U100" s="8">
        <v>1</v>
      </c>
      <c r="V100" s="8">
        <v>0</v>
      </c>
      <c r="W100" s="8">
        <v>2</v>
      </c>
      <c r="X100" s="8">
        <v>1</v>
      </c>
      <c r="Y100" s="8" t="s"/>
      <c r="Z100" s="5" t="s"/>
    </row>
    <row r="101" spans="1:26">
      <c r="A101" s="9" t="str">
        <f>=样本清单!A101</f>
        <v>M4_P3_01</v>
      </c>
      <c r="B101" s="9" t="str">
        <f>=样本清单!B101</f>
        <v>M4</v>
      </c>
      <c r="C101" s="9" t="str">
        <f>=样本清单!C101</f>
        <v>Reve 2.1</v>
      </c>
      <c r="D101" s="9" t="str">
        <f>=样本清单!D101</f>
        <v>P3</v>
      </c>
      <c r="E101" s="9">
        <f>=样本清单!F101</f>
        <v>1</v>
      </c>
      <c r="F101" s="8">
        <v>1</v>
      </c>
      <c r="G101" s="8">
        <v>1</v>
      </c>
      <c r="H101" s="8">
        <v>1</v>
      </c>
      <c r="I101" s="8">
        <v>1</v>
      </c>
      <c r="J101" s="8">
        <v>2</v>
      </c>
      <c r="K101" s="8">
        <v>2</v>
      </c>
      <c r="L101" s="8">
        <v>1</v>
      </c>
      <c r="M101" s="8">
        <v>2</v>
      </c>
      <c r="N101" s="8">
        <v>1</v>
      </c>
      <c r="O101" s="8">
        <v>2</v>
      </c>
      <c r="P101" s="8">
        <v>0</v>
      </c>
      <c r="Q101" s="8">
        <v>0</v>
      </c>
      <c r="R101" s="8">
        <v>2</v>
      </c>
      <c r="S101" s="8">
        <v>2</v>
      </c>
      <c r="T101" s="8">
        <v>2</v>
      </c>
      <c r="U101" s="8">
        <v>1</v>
      </c>
      <c r="V101" s="8">
        <v>1</v>
      </c>
      <c r="W101" s="8">
        <v>2</v>
      </c>
      <c r="X101" s="8">
        <v>2</v>
      </c>
      <c r="Y101" s="8" t="s"/>
      <c r="Z101" s="5" t="s"/>
    </row>
    <row r="102" spans="1:26">
      <c r="A102" s="9" t="str">
        <f>=样本清单!A102</f>
        <v>M4_P3_02</v>
      </c>
      <c r="B102" s="9" t="str">
        <f>=样本清单!B102</f>
        <v>M4</v>
      </c>
      <c r="C102" s="9" t="str">
        <f>=样本清单!C102</f>
        <v>Reve 2.1</v>
      </c>
      <c r="D102" s="9" t="str">
        <f>=样本清单!D102</f>
        <v>P3</v>
      </c>
      <c r="E102" s="9">
        <f>=样本清单!F102</f>
        <v>2</v>
      </c>
      <c r="F102" s="8">
        <v>1</v>
      </c>
      <c r="G102" s="8">
        <v>2</v>
      </c>
      <c r="H102" s="8">
        <v>2</v>
      </c>
      <c r="I102" s="8">
        <v>1</v>
      </c>
      <c r="J102" s="8">
        <v>2</v>
      </c>
      <c r="K102" s="8">
        <v>2</v>
      </c>
      <c r="L102" s="8">
        <v>1</v>
      </c>
      <c r="M102" s="8">
        <v>2</v>
      </c>
      <c r="N102" s="8">
        <v>1</v>
      </c>
      <c r="O102" s="8">
        <v>2</v>
      </c>
      <c r="P102" s="8">
        <v>0</v>
      </c>
      <c r="Q102" s="8">
        <v>0</v>
      </c>
      <c r="R102" s="8">
        <v>0</v>
      </c>
      <c r="S102" s="8">
        <v>2</v>
      </c>
      <c r="T102" s="8">
        <v>1</v>
      </c>
      <c r="U102" s="8">
        <v>1</v>
      </c>
      <c r="V102" s="8">
        <v>1</v>
      </c>
      <c r="W102" s="8">
        <v>2</v>
      </c>
      <c r="X102" s="8">
        <v>1</v>
      </c>
      <c r="Y102" s="8" t="s"/>
      <c r="Z102" s="5" t="s"/>
    </row>
    <row r="103" spans="1:26">
      <c r="A103" s="9" t="str">
        <f>=样本清单!A103</f>
        <v>M4_P3_03</v>
      </c>
      <c r="B103" s="9" t="str">
        <f>=样本清单!B103</f>
        <v>M4</v>
      </c>
      <c r="C103" s="9" t="str">
        <f>=样本清单!C103</f>
        <v>Reve 2.1</v>
      </c>
      <c r="D103" s="9" t="str">
        <f>=样本清单!D103</f>
        <v>P3</v>
      </c>
      <c r="E103" s="9">
        <f>=样本清单!F103</f>
        <v>3</v>
      </c>
      <c r="F103" s="8">
        <v>1</v>
      </c>
      <c r="G103" s="8">
        <v>1</v>
      </c>
      <c r="H103" s="8">
        <v>1</v>
      </c>
      <c r="I103" s="8">
        <v>1</v>
      </c>
      <c r="J103" s="8">
        <v>2</v>
      </c>
      <c r="K103" s="8">
        <v>2</v>
      </c>
      <c r="L103" s="8">
        <v>1</v>
      </c>
      <c r="M103" s="8">
        <v>1</v>
      </c>
      <c r="N103" s="8">
        <v>1</v>
      </c>
      <c r="O103" s="8">
        <v>2</v>
      </c>
      <c r="P103" s="8">
        <v>0</v>
      </c>
      <c r="Q103" s="8">
        <v>1</v>
      </c>
      <c r="R103" s="8">
        <v>2</v>
      </c>
      <c r="S103" s="8">
        <v>2</v>
      </c>
      <c r="T103" s="8">
        <v>2</v>
      </c>
      <c r="U103" s="8">
        <v>1</v>
      </c>
      <c r="V103" s="8">
        <v>1</v>
      </c>
      <c r="W103" s="8">
        <v>2</v>
      </c>
      <c r="X103" s="8">
        <v>2</v>
      </c>
      <c r="Y103" s="8" t="s"/>
      <c r="Z103" s="5" t="s"/>
    </row>
    <row r="104" spans="1:26">
      <c r="A104" s="9" t="str">
        <f>=样本清单!A104</f>
        <v>M4_P3_04</v>
      </c>
      <c r="B104" s="9" t="str">
        <f>=样本清单!B104</f>
        <v>M4</v>
      </c>
      <c r="C104" s="9" t="str">
        <f>=样本清单!C104</f>
        <v>Reve 2.1</v>
      </c>
      <c r="D104" s="9" t="str">
        <f>=样本清单!D104</f>
        <v>P3</v>
      </c>
      <c r="E104" s="9">
        <f>=样本清单!F104</f>
        <v>4</v>
      </c>
      <c r="F104" s="8">
        <v>2</v>
      </c>
      <c r="G104" s="8">
        <v>1</v>
      </c>
      <c r="H104" s="8">
        <v>2</v>
      </c>
      <c r="I104" s="8">
        <v>1</v>
      </c>
      <c r="J104" s="8">
        <v>2</v>
      </c>
      <c r="K104" s="8">
        <v>2</v>
      </c>
      <c r="L104" s="8">
        <v>2</v>
      </c>
      <c r="M104" s="8">
        <v>2</v>
      </c>
      <c r="N104" s="8">
        <v>2</v>
      </c>
      <c r="O104" s="8">
        <v>2</v>
      </c>
      <c r="P104" s="8">
        <v>0</v>
      </c>
      <c r="Q104" s="8">
        <v>0</v>
      </c>
      <c r="R104" s="8">
        <v>2</v>
      </c>
      <c r="S104" s="8">
        <v>2</v>
      </c>
      <c r="T104" s="8">
        <v>1</v>
      </c>
      <c r="U104" s="8">
        <v>1</v>
      </c>
      <c r="V104" s="8">
        <v>1</v>
      </c>
      <c r="W104" s="8">
        <v>2</v>
      </c>
      <c r="X104" s="8">
        <v>2</v>
      </c>
      <c r="Y104" s="8" t="s"/>
      <c r="Z104" s="5" t="s"/>
    </row>
    <row r="105" spans="1:26">
      <c r="A105" s="9" t="str">
        <f>=样本清单!A105</f>
        <v>M4_P3_05</v>
      </c>
      <c r="B105" s="9" t="str">
        <f>=样本清单!B105</f>
        <v>M4</v>
      </c>
      <c r="C105" s="9" t="str">
        <f>=样本清单!C105</f>
        <v>Reve 2.1</v>
      </c>
      <c r="D105" s="9" t="str">
        <f>=样本清单!D105</f>
        <v>P3</v>
      </c>
      <c r="E105" s="9">
        <f>=样本清单!F105</f>
        <v>5</v>
      </c>
      <c r="F105" s="8">
        <v>1</v>
      </c>
      <c r="G105" s="8">
        <v>2</v>
      </c>
      <c r="H105" s="8">
        <v>1</v>
      </c>
      <c r="I105" s="8">
        <v>1</v>
      </c>
      <c r="J105" s="8">
        <v>2</v>
      </c>
      <c r="K105" s="8">
        <v>2</v>
      </c>
      <c r="L105" s="8">
        <v>1</v>
      </c>
      <c r="M105" s="8">
        <v>2</v>
      </c>
      <c r="N105" s="8">
        <v>2</v>
      </c>
      <c r="O105" s="8">
        <v>2</v>
      </c>
      <c r="P105" s="8">
        <v>0</v>
      </c>
      <c r="Q105" s="8">
        <v>0</v>
      </c>
      <c r="R105" s="8">
        <v>1</v>
      </c>
      <c r="S105" s="8">
        <v>2</v>
      </c>
      <c r="T105" s="8">
        <v>1</v>
      </c>
      <c r="U105" s="8">
        <v>2</v>
      </c>
      <c r="V105" s="8">
        <v>1</v>
      </c>
      <c r="W105" s="8">
        <v>2</v>
      </c>
      <c r="X105" s="8">
        <v>2</v>
      </c>
      <c r="Y105" s="8" t="s"/>
      <c r="Z105" s="5" t="s"/>
    </row>
    <row r="106" spans="1:26">
      <c r="A106" s="9" t="str">
        <f>=样本清单!A106</f>
        <v>M4_P3_06</v>
      </c>
      <c r="B106" s="9" t="str">
        <f>=样本清单!B106</f>
        <v>M4</v>
      </c>
      <c r="C106" s="9" t="str">
        <f>=样本清单!C106</f>
        <v>Reve 2.1</v>
      </c>
      <c r="D106" s="9" t="str">
        <f>=样本清单!D106</f>
        <v>P3</v>
      </c>
      <c r="E106" s="9">
        <f>=样本清单!F106</f>
        <v>6</v>
      </c>
      <c r="F106" s="8">
        <v>1</v>
      </c>
      <c r="G106" s="8">
        <v>1</v>
      </c>
      <c r="H106" s="8">
        <v>1</v>
      </c>
      <c r="I106" s="8">
        <v>1</v>
      </c>
      <c r="J106" s="8">
        <v>2</v>
      </c>
      <c r="K106" s="8">
        <v>2</v>
      </c>
      <c r="L106" s="8">
        <v>2</v>
      </c>
      <c r="M106" s="8">
        <v>2</v>
      </c>
      <c r="N106" s="8">
        <v>2</v>
      </c>
      <c r="O106" s="8">
        <v>2</v>
      </c>
      <c r="P106" s="8">
        <v>0</v>
      </c>
      <c r="Q106" s="8">
        <v>0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8">
        <v>2</v>
      </c>
      <c r="X106" s="8">
        <v>2</v>
      </c>
      <c r="Y106" s="8" t="s"/>
      <c r="Z106" s="5" t="s"/>
    </row>
    <row r="107" spans="1:26">
      <c r="A107" s="9" t="str">
        <f>=样本清单!A107</f>
        <v>M4_P3_07</v>
      </c>
      <c r="B107" s="9" t="str">
        <f>=样本清单!B107</f>
        <v>M4</v>
      </c>
      <c r="C107" s="9" t="str">
        <f>=样本清单!C107</f>
        <v>Reve 2.1</v>
      </c>
      <c r="D107" s="9" t="str">
        <f>=样本清单!D107</f>
        <v>P3</v>
      </c>
      <c r="E107" s="9">
        <f>=样本清单!F107</f>
        <v>7</v>
      </c>
      <c r="F107" s="8">
        <v>1</v>
      </c>
      <c r="G107" s="8">
        <v>2</v>
      </c>
      <c r="H107" s="8">
        <v>2</v>
      </c>
      <c r="I107" s="8">
        <v>1</v>
      </c>
      <c r="J107" s="8">
        <v>2</v>
      </c>
      <c r="K107" s="8">
        <v>2</v>
      </c>
      <c r="L107" s="8">
        <v>1</v>
      </c>
      <c r="M107" s="8">
        <v>2</v>
      </c>
      <c r="N107" s="8">
        <v>1</v>
      </c>
      <c r="O107" s="8">
        <v>2</v>
      </c>
      <c r="P107" s="8">
        <v>0</v>
      </c>
      <c r="Q107" s="8">
        <v>0</v>
      </c>
      <c r="R107" s="8">
        <v>1</v>
      </c>
      <c r="S107" s="8">
        <v>1</v>
      </c>
      <c r="T107" s="8">
        <v>1</v>
      </c>
      <c r="U107" s="8">
        <v>2</v>
      </c>
      <c r="V107" s="8">
        <v>1</v>
      </c>
      <c r="W107" s="8">
        <v>2</v>
      </c>
      <c r="X107" s="8">
        <v>2</v>
      </c>
      <c r="Y107" s="8" t="s"/>
      <c r="Z107" s="5" t="s"/>
    </row>
    <row r="108" spans="1:26">
      <c r="A108" s="9" t="str">
        <f>=样本清单!A108</f>
        <v>M4_P3_08</v>
      </c>
      <c r="B108" s="9" t="str">
        <f>=样本清单!B108</f>
        <v>M4</v>
      </c>
      <c r="C108" s="9" t="str">
        <f>=样本清单!C108</f>
        <v>Reve 2.1</v>
      </c>
      <c r="D108" s="9" t="str">
        <f>=样本清单!D108</f>
        <v>P3</v>
      </c>
      <c r="E108" s="9">
        <f>=样本清单!F108</f>
        <v>8</v>
      </c>
      <c r="F108" s="8">
        <v>1</v>
      </c>
      <c r="G108" s="8">
        <v>2</v>
      </c>
      <c r="H108" s="8">
        <v>2</v>
      </c>
      <c r="I108" s="8">
        <v>1</v>
      </c>
      <c r="J108" s="8">
        <v>1</v>
      </c>
      <c r="K108" s="8">
        <v>2</v>
      </c>
      <c r="L108" s="8" t="s">
        <v>607</v>
      </c>
      <c r="M108" s="8">
        <v>2</v>
      </c>
      <c r="N108" s="8">
        <v>1</v>
      </c>
      <c r="O108" s="8">
        <v>2</v>
      </c>
      <c r="P108" s="8">
        <v>0</v>
      </c>
      <c r="Q108" s="8">
        <v>0</v>
      </c>
      <c r="R108" s="8">
        <v>1</v>
      </c>
      <c r="S108" s="8">
        <v>2</v>
      </c>
      <c r="T108" s="8">
        <v>1</v>
      </c>
      <c r="U108" s="8">
        <v>1</v>
      </c>
      <c r="V108" s="8">
        <v>1</v>
      </c>
      <c r="W108" s="8">
        <v>1</v>
      </c>
      <c r="X108" s="8">
        <v>1</v>
      </c>
      <c r="Y108" s="8" t="s"/>
      <c r="Z108" s="5" t="s"/>
    </row>
    <row r="109" spans="1:26">
      <c r="A109" s="9" t="str">
        <f>=样本清单!A109</f>
        <v>M4_P3_09</v>
      </c>
      <c r="B109" s="9" t="str">
        <f>=样本清单!B109</f>
        <v>M4</v>
      </c>
      <c r="C109" s="9" t="str">
        <f>=样本清单!C109</f>
        <v>Reve 2.1</v>
      </c>
      <c r="D109" s="9" t="str">
        <f>=样本清单!D109</f>
        <v>P3</v>
      </c>
      <c r="E109" s="9">
        <f>=样本清单!F109</f>
        <v>9</v>
      </c>
      <c r="F109" s="8">
        <v>1</v>
      </c>
      <c r="G109" s="8">
        <v>2</v>
      </c>
      <c r="H109" s="8">
        <v>2</v>
      </c>
      <c r="I109" s="8">
        <v>1</v>
      </c>
      <c r="J109" s="8">
        <v>2</v>
      </c>
      <c r="K109" s="8">
        <v>2</v>
      </c>
      <c r="L109" s="8">
        <v>1</v>
      </c>
      <c r="M109" s="8">
        <v>2</v>
      </c>
      <c r="N109" s="8">
        <v>1</v>
      </c>
      <c r="O109" s="8">
        <v>2</v>
      </c>
      <c r="P109" s="8">
        <v>0</v>
      </c>
      <c r="Q109" s="8">
        <v>0</v>
      </c>
      <c r="R109" s="8">
        <v>1</v>
      </c>
      <c r="S109" s="8">
        <v>2</v>
      </c>
      <c r="T109" s="8">
        <v>2</v>
      </c>
      <c r="U109" s="8">
        <v>2</v>
      </c>
      <c r="V109" s="8">
        <v>1</v>
      </c>
      <c r="W109" s="8">
        <v>2</v>
      </c>
      <c r="X109" s="8">
        <v>1</v>
      </c>
      <c r="Y109" s="8" t="s"/>
      <c r="Z109" s="5" t="s"/>
    </row>
    <row r="110" spans="1:26">
      <c r="A110" s="9" t="str">
        <f>=样本清单!A110</f>
        <v>M5_P1_01</v>
      </c>
      <c r="B110" s="9" t="str">
        <f>=样本清单!B110</f>
        <v>M5</v>
      </c>
      <c r="C110" s="9" t="str">
        <f>=样本清单!C110</f>
        <v>Seedream 5.0 Lite</v>
      </c>
      <c r="D110" s="9" t="str">
        <f>=样本清单!D110</f>
        <v>P1</v>
      </c>
      <c r="E110" s="9">
        <f>=样本清单!F110</f>
        <v>1</v>
      </c>
      <c r="F110" s="8">
        <v>2</v>
      </c>
      <c r="G110" s="8">
        <v>2</v>
      </c>
      <c r="H110" s="8">
        <v>2</v>
      </c>
      <c r="I110" s="8">
        <v>0</v>
      </c>
      <c r="J110" s="8">
        <v>1</v>
      </c>
      <c r="K110" s="8">
        <v>0</v>
      </c>
      <c r="L110" s="8" t="s">
        <v>607</v>
      </c>
      <c r="M110" s="8">
        <v>2</v>
      </c>
      <c r="N110" s="8" t="s">
        <v>607</v>
      </c>
      <c r="O110" s="8">
        <v>2</v>
      </c>
      <c r="P110" s="8">
        <v>0</v>
      </c>
      <c r="Q110" s="8">
        <v>0</v>
      </c>
      <c r="R110" s="8">
        <v>0</v>
      </c>
      <c r="S110" s="8">
        <v>1</v>
      </c>
      <c r="T110" s="8">
        <v>1</v>
      </c>
      <c r="U110" s="8">
        <v>2</v>
      </c>
      <c r="V110" s="8">
        <v>2</v>
      </c>
      <c r="W110" s="8">
        <v>1</v>
      </c>
      <c r="X110" s="8">
        <v>2</v>
      </c>
      <c r="Y110" s="8" t="s"/>
      <c r="Z110" s="5" t="s"/>
    </row>
    <row r="111" spans="1:26">
      <c r="A111" s="9" t="str">
        <f>=样本清单!A111</f>
        <v>M5_P1_02</v>
      </c>
      <c r="B111" s="9" t="str">
        <f>=样本清单!B111</f>
        <v>M5</v>
      </c>
      <c r="C111" s="9" t="str">
        <f>=样本清单!C111</f>
        <v>Seedream 5.0 Lite</v>
      </c>
      <c r="D111" s="9" t="str">
        <f>=样本清单!D111</f>
        <v>P1</v>
      </c>
      <c r="E111" s="9">
        <f>=样本清单!F111</f>
        <v>2</v>
      </c>
      <c r="F111" s="8">
        <v>2</v>
      </c>
      <c r="G111" s="8">
        <v>1</v>
      </c>
      <c r="H111" s="8">
        <v>2</v>
      </c>
      <c r="I111" s="8">
        <v>1</v>
      </c>
      <c r="J111" s="8">
        <v>1</v>
      </c>
      <c r="K111" s="8">
        <v>1</v>
      </c>
      <c r="L111" s="8">
        <v>2</v>
      </c>
      <c r="M111" s="8">
        <v>2</v>
      </c>
      <c r="N111" s="8" t="s">
        <v>607</v>
      </c>
      <c r="O111" s="8">
        <v>2</v>
      </c>
      <c r="P111" s="8">
        <v>0</v>
      </c>
      <c r="Q111" s="8">
        <v>0</v>
      </c>
      <c r="R111" s="8">
        <v>0</v>
      </c>
      <c r="S111" s="8">
        <v>2</v>
      </c>
      <c r="T111" s="8">
        <v>1</v>
      </c>
      <c r="U111" s="8">
        <v>2</v>
      </c>
      <c r="V111" s="8">
        <v>2</v>
      </c>
      <c r="W111" s="8">
        <v>1</v>
      </c>
      <c r="X111" s="8">
        <v>2</v>
      </c>
      <c r="Y111" s="8" t="s"/>
      <c r="Z111" s="5" t="s"/>
    </row>
    <row r="112" spans="1:26">
      <c r="A112" s="9" t="str">
        <f>=样本清单!A112</f>
        <v>M5_P1_03</v>
      </c>
      <c r="B112" s="9" t="str">
        <f>=样本清单!B112</f>
        <v>M5</v>
      </c>
      <c r="C112" s="9" t="str">
        <f>=样本清单!C112</f>
        <v>Seedream 5.0 Lite</v>
      </c>
      <c r="D112" s="9" t="str">
        <f>=样本清单!D112</f>
        <v>P1</v>
      </c>
      <c r="E112" s="9">
        <f>=样本清单!F112</f>
        <v>3</v>
      </c>
      <c r="F112" s="8">
        <v>1</v>
      </c>
      <c r="G112" s="8">
        <v>0</v>
      </c>
      <c r="H112" s="8">
        <v>1</v>
      </c>
      <c r="I112" s="8">
        <v>1</v>
      </c>
      <c r="J112" s="8">
        <v>1</v>
      </c>
      <c r="K112" s="8">
        <v>1</v>
      </c>
      <c r="L112" s="8">
        <v>1</v>
      </c>
      <c r="M112" s="8">
        <v>2</v>
      </c>
      <c r="N112" s="8" t="s">
        <v>607</v>
      </c>
      <c r="O112" s="8">
        <v>2</v>
      </c>
      <c r="P112" s="8">
        <v>1</v>
      </c>
      <c r="Q112" s="8">
        <v>1</v>
      </c>
      <c r="R112" s="8">
        <v>0</v>
      </c>
      <c r="S112" s="8">
        <v>2</v>
      </c>
      <c r="T112" s="8">
        <v>1</v>
      </c>
      <c r="U112" s="8">
        <v>1</v>
      </c>
      <c r="V112" s="8">
        <v>1</v>
      </c>
      <c r="W112" s="8">
        <v>2</v>
      </c>
      <c r="X112" s="8">
        <v>1</v>
      </c>
      <c r="Y112" s="8" t="s"/>
      <c r="Z112" s="5" t="s"/>
    </row>
    <row r="113" spans="1:26">
      <c r="A113" s="9" t="str">
        <f>=样本清单!A113</f>
        <v>M5_P1_04</v>
      </c>
      <c r="B113" s="9" t="str">
        <f>=样本清单!B113</f>
        <v>M5</v>
      </c>
      <c r="C113" s="9" t="str">
        <f>=样本清单!C113</f>
        <v>Seedream 5.0 Lite</v>
      </c>
      <c r="D113" s="9" t="str">
        <f>=样本清单!D113</f>
        <v>P1</v>
      </c>
      <c r="E113" s="9">
        <f>=样本清单!F113</f>
        <v>4</v>
      </c>
      <c r="F113" s="8">
        <v>2</v>
      </c>
      <c r="G113" s="8">
        <v>2</v>
      </c>
      <c r="H113" s="8">
        <v>2</v>
      </c>
      <c r="I113" s="8">
        <v>2</v>
      </c>
      <c r="J113" s="8">
        <v>1</v>
      </c>
      <c r="K113" s="8">
        <v>1</v>
      </c>
      <c r="L113" s="8">
        <v>1</v>
      </c>
      <c r="M113" s="8">
        <v>1</v>
      </c>
      <c r="N113" s="8" t="s">
        <v>607</v>
      </c>
      <c r="O113" s="8">
        <v>2</v>
      </c>
      <c r="P113" s="8">
        <v>0</v>
      </c>
      <c r="Q113" s="8">
        <v>2</v>
      </c>
      <c r="R113" s="8">
        <v>1</v>
      </c>
      <c r="S113" s="8">
        <v>0</v>
      </c>
      <c r="T113" s="8">
        <v>1</v>
      </c>
      <c r="U113" s="8">
        <v>1</v>
      </c>
      <c r="V113" s="8">
        <v>2</v>
      </c>
      <c r="W113" s="8">
        <v>1</v>
      </c>
      <c r="X113" s="8">
        <v>2</v>
      </c>
      <c r="Y113" s="8" t="s"/>
      <c r="Z113" s="5" t="s"/>
    </row>
    <row r="114" spans="1:26">
      <c r="A114" s="9" t="str">
        <f>=样本清单!A114</f>
        <v>M5_P1_05</v>
      </c>
      <c r="B114" s="9" t="str">
        <f>=样本清单!B114</f>
        <v>M5</v>
      </c>
      <c r="C114" s="9" t="str">
        <f>=样本清单!C114</f>
        <v>Seedream 5.0 Lite</v>
      </c>
      <c r="D114" s="9" t="str">
        <f>=样本清单!D114</f>
        <v>P1</v>
      </c>
      <c r="E114" s="9">
        <f>=样本清单!F114</f>
        <v>5</v>
      </c>
      <c r="F114" s="8">
        <v>1</v>
      </c>
      <c r="G114" s="8">
        <v>1</v>
      </c>
      <c r="H114" s="8">
        <v>1</v>
      </c>
      <c r="I114" s="8">
        <v>0</v>
      </c>
      <c r="J114" s="8">
        <v>1</v>
      </c>
      <c r="K114" s="8">
        <v>0</v>
      </c>
      <c r="L114" s="8">
        <v>1</v>
      </c>
      <c r="M114" s="8">
        <v>1</v>
      </c>
      <c r="N114" s="8">
        <v>2</v>
      </c>
      <c r="O114" s="8">
        <v>2</v>
      </c>
      <c r="P114" s="8">
        <v>0</v>
      </c>
      <c r="Q114" s="8">
        <v>0</v>
      </c>
      <c r="R114" s="8">
        <v>0</v>
      </c>
      <c r="S114" s="8">
        <v>1</v>
      </c>
      <c r="T114" s="8">
        <v>1</v>
      </c>
      <c r="U114" s="8">
        <v>1</v>
      </c>
      <c r="V114" s="8">
        <v>1</v>
      </c>
      <c r="W114" s="8">
        <v>2</v>
      </c>
      <c r="X114" s="8">
        <v>1</v>
      </c>
      <c r="Y114" s="8" t="s"/>
      <c r="Z114" s="5" t="s"/>
    </row>
    <row r="115" spans="1:26">
      <c r="A115" s="9" t="str">
        <f>=样本清单!A115</f>
        <v>M5_P1_06</v>
      </c>
      <c r="B115" s="9" t="str">
        <f>=样本清单!B115</f>
        <v>M5</v>
      </c>
      <c r="C115" s="9" t="str">
        <f>=样本清单!C115</f>
        <v>Seedream 5.0 Lite</v>
      </c>
      <c r="D115" s="9" t="str">
        <f>=样本清单!D115</f>
        <v>P1</v>
      </c>
      <c r="E115" s="9">
        <f>=样本清单!F115</f>
        <v>6</v>
      </c>
      <c r="F115" s="8">
        <v>2</v>
      </c>
      <c r="G115" s="8">
        <v>1</v>
      </c>
      <c r="H115" s="8">
        <v>2</v>
      </c>
      <c r="I115" s="8">
        <v>2</v>
      </c>
      <c r="J115" s="8">
        <v>2</v>
      </c>
      <c r="K115" s="8">
        <v>1</v>
      </c>
      <c r="L115" s="8">
        <v>2</v>
      </c>
      <c r="M115" s="8">
        <v>2</v>
      </c>
      <c r="N115" s="8">
        <v>0</v>
      </c>
      <c r="O115" s="8">
        <v>0</v>
      </c>
      <c r="P115" s="8">
        <v>1</v>
      </c>
      <c r="Q115" s="8">
        <v>1</v>
      </c>
      <c r="R115" s="8">
        <v>1</v>
      </c>
      <c r="S115" s="8">
        <v>2</v>
      </c>
      <c r="T115" s="8">
        <v>2</v>
      </c>
      <c r="U115" s="8">
        <v>2</v>
      </c>
      <c r="V115" s="8">
        <v>2</v>
      </c>
      <c r="W115" s="8">
        <v>2</v>
      </c>
      <c r="X115" s="8">
        <v>2</v>
      </c>
      <c r="Y115" s="8" t="s"/>
      <c r="Z115" s="5" t="s"/>
    </row>
    <row r="116" spans="1:26">
      <c r="A116" s="9" t="str">
        <f>=样本清单!A116</f>
        <v>M5_P1_07</v>
      </c>
      <c r="B116" s="9" t="str">
        <f>=样本清单!B116</f>
        <v>M5</v>
      </c>
      <c r="C116" s="9" t="str">
        <f>=样本清单!C116</f>
        <v>Seedream 5.0 Lite</v>
      </c>
      <c r="D116" s="9" t="str">
        <f>=样本清单!D116</f>
        <v>P1</v>
      </c>
      <c r="E116" s="9">
        <f>=样本清单!F116</f>
        <v>7</v>
      </c>
      <c r="F116" s="8">
        <v>1</v>
      </c>
      <c r="G116" s="8">
        <v>1</v>
      </c>
      <c r="H116" s="8">
        <v>1</v>
      </c>
      <c r="I116" s="8">
        <v>1</v>
      </c>
      <c r="J116" s="8">
        <v>1</v>
      </c>
      <c r="K116" s="8">
        <v>0</v>
      </c>
      <c r="L116" s="8">
        <v>2</v>
      </c>
      <c r="M116" s="8">
        <v>2</v>
      </c>
      <c r="N116" s="8" t="s">
        <v>607</v>
      </c>
      <c r="O116" s="8">
        <v>1</v>
      </c>
      <c r="P116" s="8">
        <v>0</v>
      </c>
      <c r="Q116" s="8">
        <v>0</v>
      </c>
      <c r="R116" s="8">
        <v>0</v>
      </c>
      <c r="S116" s="8">
        <v>1</v>
      </c>
      <c r="T116" s="8">
        <v>1</v>
      </c>
      <c r="U116" s="8">
        <v>1</v>
      </c>
      <c r="V116" s="8">
        <v>2</v>
      </c>
      <c r="W116" s="8">
        <v>2</v>
      </c>
      <c r="X116" s="8">
        <v>1</v>
      </c>
      <c r="Y116" s="8" t="s"/>
      <c r="Z116" s="5" t="s"/>
    </row>
    <row r="117" spans="1:26">
      <c r="A117" s="9" t="str">
        <f>=样本清单!A117</f>
        <v>M5_P1_08</v>
      </c>
      <c r="B117" s="9" t="str">
        <f>=样本清单!B117</f>
        <v>M5</v>
      </c>
      <c r="C117" s="9" t="str">
        <f>=样本清单!C117</f>
        <v>Seedream 5.0 Lite</v>
      </c>
      <c r="D117" s="9" t="str">
        <f>=样本清单!D117</f>
        <v>P1</v>
      </c>
      <c r="E117" s="9">
        <f>=样本清单!F117</f>
        <v>8</v>
      </c>
      <c r="F117" s="8">
        <v>2</v>
      </c>
      <c r="G117" s="8">
        <v>2</v>
      </c>
      <c r="H117" s="8">
        <v>2</v>
      </c>
      <c r="I117" s="8">
        <v>0</v>
      </c>
      <c r="J117" s="8">
        <v>2</v>
      </c>
      <c r="K117" s="8">
        <v>2</v>
      </c>
      <c r="L117" s="8">
        <v>2</v>
      </c>
      <c r="M117" s="8">
        <v>2</v>
      </c>
      <c r="N117" s="8" t="s">
        <v>607</v>
      </c>
      <c r="O117" s="8">
        <v>0</v>
      </c>
      <c r="P117" s="8">
        <v>0</v>
      </c>
      <c r="Q117" s="8">
        <v>0</v>
      </c>
      <c r="R117" s="8">
        <v>0</v>
      </c>
      <c r="S117" s="8">
        <v>2</v>
      </c>
      <c r="T117" s="8">
        <v>2</v>
      </c>
      <c r="U117" s="8">
        <v>1</v>
      </c>
      <c r="V117" s="8">
        <v>2</v>
      </c>
      <c r="W117" s="8">
        <v>2</v>
      </c>
      <c r="X117" s="8">
        <v>2</v>
      </c>
      <c r="Y117" s="8" t="s"/>
      <c r="Z117" s="5" t="s"/>
    </row>
    <row r="118" spans="1:26">
      <c r="A118" s="9" t="str">
        <f>=样本清单!A118</f>
        <v>M5_P1_09</v>
      </c>
      <c r="B118" s="9" t="str">
        <f>=样本清单!B118</f>
        <v>M5</v>
      </c>
      <c r="C118" s="9" t="str">
        <f>=样本清单!C118</f>
        <v>Seedream 5.0 Lite</v>
      </c>
      <c r="D118" s="9" t="str">
        <f>=样本清单!D118</f>
        <v>P1</v>
      </c>
      <c r="E118" s="9">
        <f>=样本清单!F118</f>
        <v>9</v>
      </c>
      <c r="F118" s="8">
        <v>2</v>
      </c>
      <c r="G118" s="8">
        <v>2</v>
      </c>
      <c r="H118" s="8">
        <v>2</v>
      </c>
      <c r="I118" s="8">
        <v>0</v>
      </c>
      <c r="J118" s="8">
        <v>0</v>
      </c>
      <c r="K118" s="8">
        <v>0</v>
      </c>
      <c r="L118" s="8">
        <v>1</v>
      </c>
      <c r="M118" s="8">
        <v>2</v>
      </c>
      <c r="N118" s="8" t="s">
        <v>607</v>
      </c>
      <c r="O118" s="8">
        <v>2</v>
      </c>
      <c r="P118" s="8">
        <v>0</v>
      </c>
      <c r="Q118" s="8">
        <v>0</v>
      </c>
      <c r="R118" s="8">
        <v>0</v>
      </c>
      <c r="S118" s="8">
        <v>2</v>
      </c>
      <c r="T118" s="8">
        <v>2</v>
      </c>
      <c r="U118" s="8">
        <v>2</v>
      </c>
      <c r="V118" s="8">
        <v>2</v>
      </c>
      <c r="W118" s="8">
        <v>2</v>
      </c>
      <c r="X118" s="8">
        <v>2</v>
      </c>
      <c r="Y118" s="8" t="s"/>
      <c r="Z118" s="5" t="s"/>
    </row>
    <row r="119" spans="1:26">
      <c r="A119" s="9" t="str">
        <f>=样本清单!A119</f>
        <v>M5_P2_01</v>
      </c>
      <c r="B119" s="9" t="str">
        <f>=样本清单!B119</f>
        <v>M5</v>
      </c>
      <c r="C119" s="9" t="str">
        <f>=样本清单!C119</f>
        <v>Seedream 5.0 Lite</v>
      </c>
      <c r="D119" s="9" t="str">
        <f>=样本清单!D119</f>
        <v>P2</v>
      </c>
      <c r="E119" s="9">
        <f>=样本清单!F119</f>
        <v>1</v>
      </c>
      <c r="F119" s="8">
        <v>2</v>
      </c>
      <c r="G119" s="8">
        <v>1</v>
      </c>
      <c r="H119" s="8">
        <v>2</v>
      </c>
      <c r="I119" s="8">
        <v>1</v>
      </c>
      <c r="J119" s="8">
        <v>1</v>
      </c>
      <c r="K119" s="8">
        <v>2</v>
      </c>
      <c r="L119" s="8">
        <v>2</v>
      </c>
      <c r="M119" s="8">
        <v>2</v>
      </c>
      <c r="N119" s="8" t="s">
        <v>607</v>
      </c>
      <c r="O119" s="8">
        <v>2</v>
      </c>
      <c r="P119" s="8">
        <v>0</v>
      </c>
      <c r="Q119" s="8">
        <v>0</v>
      </c>
      <c r="R119" s="8">
        <v>0</v>
      </c>
      <c r="S119" s="8">
        <v>2</v>
      </c>
      <c r="T119" s="8">
        <v>2</v>
      </c>
      <c r="U119" s="8">
        <v>1</v>
      </c>
      <c r="V119" s="8">
        <v>2</v>
      </c>
      <c r="W119" s="8">
        <v>2</v>
      </c>
      <c r="X119" s="8">
        <v>2</v>
      </c>
      <c r="Y119" s="8" t="s"/>
      <c r="Z119" s="5" t="s"/>
    </row>
    <row r="120" spans="1:26">
      <c r="A120" s="9" t="str">
        <f>=样本清单!A120</f>
        <v>M5_P2_02</v>
      </c>
      <c r="B120" s="9" t="str">
        <f>=样本清单!B120</f>
        <v>M5</v>
      </c>
      <c r="C120" s="9" t="str">
        <f>=样本清单!C120</f>
        <v>Seedream 5.0 Lite</v>
      </c>
      <c r="D120" s="9" t="str">
        <f>=样本清单!D120</f>
        <v>P2</v>
      </c>
      <c r="E120" s="9">
        <f>=样本清单!F120</f>
        <v>2</v>
      </c>
      <c r="F120" s="8">
        <v>2</v>
      </c>
      <c r="G120" s="8">
        <v>1</v>
      </c>
      <c r="H120" s="8">
        <v>2</v>
      </c>
      <c r="I120" s="8">
        <v>2</v>
      </c>
      <c r="J120" s="8">
        <v>1</v>
      </c>
      <c r="K120" s="8">
        <v>0</v>
      </c>
      <c r="L120" s="8">
        <v>1</v>
      </c>
      <c r="M120" s="8">
        <v>2</v>
      </c>
      <c r="N120" s="8">
        <v>1</v>
      </c>
      <c r="O120" s="8">
        <v>2</v>
      </c>
      <c r="P120" s="8">
        <v>0</v>
      </c>
      <c r="Q120" s="8">
        <v>0</v>
      </c>
      <c r="R120" s="8">
        <v>1</v>
      </c>
      <c r="S120" s="8">
        <v>2</v>
      </c>
      <c r="T120" s="8">
        <v>2</v>
      </c>
      <c r="U120" s="8">
        <v>1</v>
      </c>
      <c r="V120" s="8">
        <v>1</v>
      </c>
      <c r="W120" s="8">
        <v>2</v>
      </c>
      <c r="X120" s="8">
        <v>2</v>
      </c>
      <c r="Y120" s="8" t="s"/>
      <c r="Z120" s="5" t="s"/>
    </row>
    <row r="121" spans="1:26">
      <c r="A121" s="9" t="str">
        <f>=样本清单!A121</f>
        <v>M5_P2_03</v>
      </c>
      <c r="B121" s="9" t="str">
        <f>=样本清单!B121</f>
        <v>M5</v>
      </c>
      <c r="C121" s="9" t="str">
        <f>=样本清单!C121</f>
        <v>Seedream 5.0 Lite</v>
      </c>
      <c r="D121" s="9" t="str">
        <f>=样本清单!D121</f>
        <v>P2</v>
      </c>
      <c r="E121" s="9">
        <f>=样本清单!F121</f>
        <v>3</v>
      </c>
      <c r="F121" s="8">
        <v>1</v>
      </c>
      <c r="G121" s="8">
        <v>1</v>
      </c>
      <c r="H121" s="8">
        <v>0</v>
      </c>
      <c r="I121" s="8">
        <v>2</v>
      </c>
      <c r="J121" s="8">
        <v>2</v>
      </c>
      <c r="K121" s="8">
        <v>1</v>
      </c>
      <c r="L121" s="8">
        <v>2</v>
      </c>
      <c r="M121" s="8">
        <v>2</v>
      </c>
      <c r="N121" s="8">
        <v>2</v>
      </c>
      <c r="O121" s="8">
        <v>1</v>
      </c>
      <c r="P121" s="8">
        <v>0</v>
      </c>
      <c r="Q121" s="8">
        <v>0</v>
      </c>
      <c r="R121" s="8">
        <v>1</v>
      </c>
      <c r="S121" s="8">
        <v>0</v>
      </c>
      <c r="T121" s="8">
        <v>1</v>
      </c>
      <c r="U121" s="8">
        <v>1</v>
      </c>
      <c r="V121" s="8">
        <v>2</v>
      </c>
      <c r="W121" s="8">
        <v>2</v>
      </c>
      <c r="X121" s="8">
        <v>1</v>
      </c>
      <c r="Y121" s="8" t="s"/>
      <c r="Z121" s="5" t="s"/>
    </row>
    <row r="122" spans="1:26">
      <c r="A122" s="9" t="str">
        <f>=样本清单!A122</f>
        <v>M5_P2_04</v>
      </c>
      <c r="B122" s="9" t="str">
        <f>=样本清单!B122</f>
        <v>M5</v>
      </c>
      <c r="C122" s="9" t="str">
        <f>=样本清单!C122</f>
        <v>Seedream 5.0 Lite</v>
      </c>
      <c r="D122" s="9" t="str">
        <f>=样本清单!D122</f>
        <v>P2</v>
      </c>
      <c r="E122" s="9">
        <f>=样本清单!F122</f>
        <v>4</v>
      </c>
      <c r="F122" s="8">
        <v>2</v>
      </c>
      <c r="G122" s="8">
        <v>2</v>
      </c>
      <c r="H122" s="8">
        <v>2</v>
      </c>
      <c r="I122" s="8">
        <v>1</v>
      </c>
      <c r="J122" s="8">
        <v>1</v>
      </c>
      <c r="K122" s="8">
        <v>1</v>
      </c>
      <c r="L122" s="8">
        <v>2</v>
      </c>
      <c r="M122" s="8">
        <v>2</v>
      </c>
      <c r="N122" s="8">
        <v>1</v>
      </c>
      <c r="O122" s="8">
        <v>2</v>
      </c>
      <c r="P122" s="8">
        <v>0</v>
      </c>
      <c r="Q122" s="8">
        <v>0</v>
      </c>
      <c r="R122" s="8">
        <v>0</v>
      </c>
      <c r="S122" s="8">
        <v>2</v>
      </c>
      <c r="T122" s="8">
        <v>1</v>
      </c>
      <c r="U122" s="8">
        <v>1</v>
      </c>
      <c r="V122" s="8">
        <v>2</v>
      </c>
      <c r="W122" s="8">
        <v>2</v>
      </c>
      <c r="X122" s="8">
        <v>2</v>
      </c>
      <c r="Y122" s="8" t="s"/>
      <c r="Z122" s="5" t="s"/>
    </row>
    <row r="123" spans="1:26">
      <c r="A123" s="9" t="str">
        <f>=样本清单!A123</f>
        <v>M5_P2_05</v>
      </c>
      <c r="B123" s="9" t="str">
        <f>=样本清单!B123</f>
        <v>M5</v>
      </c>
      <c r="C123" s="9" t="str">
        <f>=样本清单!C123</f>
        <v>Seedream 5.0 Lite</v>
      </c>
      <c r="D123" s="9" t="str">
        <f>=样本清单!D123</f>
        <v>P2</v>
      </c>
      <c r="E123" s="9">
        <f>=样本清单!F123</f>
        <v>5</v>
      </c>
      <c r="F123" s="8">
        <v>2</v>
      </c>
      <c r="G123" s="8">
        <v>1</v>
      </c>
      <c r="H123" s="8">
        <v>2</v>
      </c>
      <c r="I123" s="8">
        <v>1</v>
      </c>
      <c r="J123" s="8">
        <v>1</v>
      </c>
      <c r="K123" s="8">
        <v>2</v>
      </c>
      <c r="L123" s="8">
        <v>2</v>
      </c>
      <c r="M123" s="8">
        <v>2</v>
      </c>
      <c r="N123" s="8" t="s">
        <v>607</v>
      </c>
      <c r="O123" s="8">
        <v>0</v>
      </c>
      <c r="P123" s="8">
        <v>0</v>
      </c>
      <c r="Q123" s="8">
        <v>0</v>
      </c>
      <c r="R123" s="8">
        <v>0</v>
      </c>
      <c r="S123" s="8">
        <v>2</v>
      </c>
      <c r="T123" s="8">
        <v>1</v>
      </c>
      <c r="U123" s="8">
        <v>2</v>
      </c>
      <c r="V123" s="8">
        <v>2</v>
      </c>
      <c r="W123" s="8">
        <v>2</v>
      </c>
      <c r="X123" s="8">
        <v>2</v>
      </c>
      <c r="Y123" s="8" t="s"/>
      <c r="Z123" s="5" t="s"/>
    </row>
    <row r="124" spans="1:26">
      <c r="A124" s="9" t="str">
        <f>=样本清单!A124</f>
        <v>M5_P2_06</v>
      </c>
      <c r="B124" s="9" t="str">
        <f>=样本清单!B124</f>
        <v>M5</v>
      </c>
      <c r="C124" s="9" t="str">
        <f>=样本清单!C124</f>
        <v>Seedream 5.0 Lite</v>
      </c>
      <c r="D124" s="9" t="str">
        <f>=样本清单!D124</f>
        <v>P2</v>
      </c>
      <c r="E124" s="9">
        <f>=样本清单!F124</f>
        <v>6</v>
      </c>
      <c r="F124" s="8">
        <v>2</v>
      </c>
      <c r="G124" s="8">
        <v>1</v>
      </c>
      <c r="H124" s="8">
        <v>2</v>
      </c>
      <c r="I124" s="8">
        <v>1</v>
      </c>
      <c r="J124" s="8">
        <v>1</v>
      </c>
      <c r="K124" s="8">
        <v>2</v>
      </c>
      <c r="L124" s="8">
        <v>2</v>
      </c>
      <c r="M124" s="8">
        <v>2</v>
      </c>
      <c r="N124" s="8">
        <v>2</v>
      </c>
      <c r="O124" s="8">
        <v>2</v>
      </c>
      <c r="P124" s="8">
        <v>0</v>
      </c>
      <c r="Q124" s="8">
        <v>0</v>
      </c>
      <c r="R124" s="8">
        <v>0</v>
      </c>
      <c r="S124" s="8">
        <v>2</v>
      </c>
      <c r="T124" s="8">
        <v>2</v>
      </c>
      <c r="U124" s="8">
        <v>2</v>
      </c>
      <c r="V124" s="8">
        <v>1</v>
      </c>
      <c r="W124" s="8">
        <v>2</v>
      </c>
      <c r="X124" s="8">
        <v>2</v>
      </c>
      <c r="Y124" s="8" t="s"/>
      <c r="Z124" s="5" t="s"/>
    </row>
    <row r="125" spans="1:26">
      <c r="A125" s="9" t="str">
        <f>=样本清单!A125</f>
        <v>M5_P2_07</v>
      </c>
      <c r="B125" s="9" t="str">
        <f>=样本清单!B125</f>
        <v>M5</v>
      </c>
      <c r="C125" s="9" t="str">
        <f>=样本清单!C125</f>
        <v>Seedream 5.0 Lite</v>
      </c>
      <c r="D125" s="9" t="str">
        <f>=样本清单!D125</f>
        <v>P2</v>
      </c>
      <c r="E125" s="9">
        <f>=样本清单!F125</f>
        <v>7</v>
      </c>
      <c r="F125" s="8">
        <v>1</v>
      </c>
      <c r="G125" s="8">
        <v>1</v>
      </c>
      <c r="H125" s="8">
        <v>1</v>
      </c>
      <c r="I125" s="8">
        <v>1</v>
      </c>
      <c r="J125" s="8">
        <v>1</v>
      </c>
      <c r="K125" s="8">
        <v>0</v>
      </c>
      <c r="L125" s="8">
        <v>2</v>
      </c>
      <c r="M125" s="8">
        <v>2</v>
      </c>
      <c r="N125" s="8" t="s">
        <v>607</v>
      </c>
      <c r="O125" s="8">
        <v>2</v>
      </c>
      <c r="P125" s="8">
        <v>0</v>
      </c>
      <c r="Q125" s="8">
        <v>0</v>
      </c>
      <c r="R125" s="8">
        <v>0</v>
      </c>
      <c r="S125" s="8">
        <v>2</v>
      </c>
      <c r="T125" s="8">
        <v>2</v>
      </c>
      <c r="U125" s="8">
        <v>1</v>
      </c>
      <c r="V125" s="8">
        <v>1</v>
      </c>
      <c r="W125" s="8">
        <v>2</v>
      </c>
      <c r="X125" s="8">
        <v>1</v>
      </c>
      <c r="Y125" s="8" t="s"/>
      <c r="Z125" s="5" t="s"/>
    </row>
    <row r="126" spans="1:26">
      <c r="A126" s="9" t="str">
        <f>=样本清单!A126</f>
        <v>M5_P2_08</v>
      </c>
      <c r="B126" s="9" t="str">
        <f>=样本清单!B126</f>
        <v>M5</v>
      </c>
      <c r="C126" s="9" t="str">
        <f>=样本清单!C126</f>
        <v>Seedream 5.0 Lite</v>
      </c>
      <c r="D126" s="9" t="str">
        <f>=样本清单!D126</f>
        <v>P2</v>
      </c>
      <c r="E126" s="9">
        <f>=样本清单!F126</f>
        <v>8</v>
      </c>
      <c r="F126" s="8">
        <v>1</v>
      </c>
      <c r="G126" s="8">
        <v>1</v>
      </c>
      <c r="H126" s="8">
        <v>2</v>
      </c>
      <c r="I126" s="8">
        <v>1</v>
      </c>
      <c r="J126" s="8">
        <v>1</v>
      </c>
      <c r="K126" s="8">
        <v>1</v>
      </c>
      <c r="L126" s="8">
        <v>2</v>
      </c>
      <c r="M126" s="8">
        <v>2</v>
      </c>
      <c r="N126" s="8" t="s">
        <v>607</v>
      </c>
      <c r="O126" s="8">
        <v>2</v>
      </c>
      <c r="P126" s="8">
        <v>0</v>
      </c>
      <c r="Q126" s="8">
        <v>0</v>
      </c>
      <c r="R126" s="8">
        <v>0</v>
      </c>
      <c r="S126" s="8">
        <v>2</v>
      </c>
      <c r="T126" s="8">
        <v>1</v>
      </c>
      <c r="U126" s="8">
        <v>1</v>
      </c>
      <c r="V126" s="8">
        <v>2</v>
      </c>
      <c r="W126" s="8">
        <v>2</v>
      </c>
      <c r="X126" s="8">
        <v>2</v>
      </c>
      <c r="Y126" s="8" t="s"/>
      <c r="Z126" s="5" t="s"/>
    </row>
    <row r="127" spans="1:26">
      <c r="A127" s="9" t="str">
        <f>=样本清单!A127</f>
        <v>M5_P2_09</v>
      </c>
      <c r="B127" s="9" t="str">
        <f>=样本清单!B127</f>
        <v>M5</v>
      </c>
      <c r="C127" s="9" t="str">
        <f>=样本清单!C127</f>
        <v>Seedream 5.0 Lite</v>
      </c>
      <c r="D127" s="9" t="str">
        <f>=样本清单!D127</f>
        <v>P2</v>
      </c>
      <c r="E127" s="9">
        <f>=样本清单!F127</f>
        <v>9</v>
      </c>
      <c r="F127" s="8">
        <v>1</v>
      </c>
      <c r="G127" s="8">
        <v>2</v>
      </c>
      <c r="H127" s="8">
        <v>2</v>
      </c>
      <c r="I127" s="8">
        <v>2</v>
      </c>
      <c r="J127" s="8">
        <v>2</v>
      </c>
      <c r="K127" s="8">
        <v>0</v>
      </c>
      <c r="L127" s="8">
        <v>2</v>
      </c>
      <c r="M127" s="8">
        <v>2</v>
      </c>
      <c r="N127" s="8" t="s">
        <v>607</v>
      </c>
      <c r="O127" s="8">
        <v>2</v>
      </c>
      <c r="P127" s="8">
        <v>0</v>
      </c>
      <c r="Q127" s="8">
        <v>0</v>
      </c>
      <c r="R127" s="8">
        <v>1</v>
      </c>
      <c r="S127" s="8">
        <v>2</v>
      </c>
      <c r="T127" s="8">
        <v>1</v>
      </c>
      <c r="U127" s="8">
        <v>1</v>
      </c>
      <c r="V127" s="8">
        <v>1</v>
      </c>
      <c r="W127" s="8">
        <v>2</v>
      </c>
      <c r="X127" s="8">
        <v>2</v>
      </c>
      <c r="Y127" s="8" t="s"/>
      <c r="Z127" s="5" t="s"/>
    </row>
    <row r="128" spans="1:26">
      <c r="A128" s="9" t="str">
        <f>=样本清单!A128</f>
        <v>M5_P3_01</v>
      </c>
      <c r="B128" s="9" t="str">
        <f>=样本清单!B128</f>
        <v>M5</v>
      </c>
      <c r="C128" s="9" t="str">
        <f>=样本清单!C128</f>
        <v>Seedream 5.0 Lite</v>
      </c>
      <c r="D128" s="9" t="str">
        <f>=样本清单!D128</f>
        <v>P3</v>
      </c>
      <c r="E128" s="9">
        <f>=样本清单!F128</f>
        <v>1</v>
      </c>
      <c r="F128" s="8">
        <v>2</v>
      </c>
      <c r="G128" s="8">
        <v>2</v>
      </c>
      <c r="H128" s="8">
        <v>2</v>
      </c>
      <c r="I128" s="8">
        <v>1</v>
      </c>
      <c r="J128" s="8">
        <v>0</v>
      </c>
      <c r="K128" s="8">
        <v>2</v>
      </c>
      <c r="L128" s="8">
        <v>0</v>
      </c>
      <c r="M128" s="8">
        <v>2</v>
      </c>
      <c r="N128" s="8">
        <v>1</v>
      </c>
      <c r="O128" s="8">
        <v>2</v>
      </c>
      <c r="P128" s="8">
        <v>1</v>
      </c>
      <c r="Q128" s="8">
        <v>1</v>
      </c>
      <c r="R128" s="8">
        <v>1</v>
      </c>
      <c r="S128" s="8">
        <v>2</v>
      </c>
      <c r="T128" s="8">
        <v>1</v>
      </c>
      <c r="U128" s="8">
        <v>1</v>
      </c>
      <c r="V128" s="8">
        <v>2</v>
      </c>
      <c r="W128" s="8">
        <v>2</v>
      </c>
      <c r="X128" s="8">
        <v>2</v>
      </c>
      <c r="Y128" s="8" t="s"/>
      <c r="Z128" s="5" t="s"/>
    </row>
    <row r="129" spans="1:26">
      <c r="A129" s="9" t="str">
        <f>=样本清单!A129</f>
        <v>M5_P3_02</v>
      </c>
      <c r="B129" s="9" t="str">
        <f>=样本清单!B129</f>
        <v>M5</v>
      </c>
      <c r="C129" s="9" t="str">
        <f>=样本清单!C129</f>
        <v>Seedream 5.0 Lite</v>
      </c>
      <c r="D129" s="9" t="str">
        <f>=样本清单!D129</f>
        <v>P3</v>
      </c>
      <c r="E129" s="9">
        <f>=样本清单!F129</f>
        <v>2</v>
      </c>
      <c r="F129" s="8">
        <v>2</v>
      </c>
      <c r="G129" s="8">
        <v>2</v>
      </c>
      <c r="H129" s="8">
        <v>2</v>
      </c>
      <c r="I129" s="8">
        <v>1</v>
      </c>
      <c r="J129" s="8">
        <v>1</v>
      </c>
      <c r="K129" s="8">
        <v>2</v>
      </c>
      <c r="L129" s="8">
        <v>2</v>
      </c>
      <c r="M129" s="8">
        <v>2</v>
      </c>
      <c r="N129" s="8">
        <v>1</v>
      </c>
      <c r="O129" s="8">
        <v>2</v>
      </c>
      <c r="P129" s="8">
        <v>0</v>
      </c>
      <c r="Q129" s="8">
        <v>0</v>
      </c>
      <c r="R129" s="8">
        <v>0</v>
      </c>
      <c r="S129" s="8">
        <v>2</v>
      </c>
      <c r="T129" s="8">
        <v>1</v>
      </c>
      <c r="U129" s="8">
        <v>2</v>
      </c>
      <c r="V129" s="8">
        <v>1</v>
      </c>
      <c r="W129" s="8">
        <v>2</v>
      </c>
      <c r="X129" s="8">
        <v>2</v>
      </c>
      <c r="Y129" s="8" t="s"/>
      <c r="Z129" s="5" t="s"/>
    </row>
    <row r="130" spans="1:26">
      <c r="A130" s="9" t="str">
        <f>=样本清单!A130</f>
        <v>M5_P3_03</v>
      </c>
      <c r="B130" s="9" t="str">
        <f>=样本清单!B130</f>
        <v>M5</v>
      </c>
      <c r="C130" s="9" t="str">
        <f>=样本清单!C130</f>
        <v>Seedream 5.0 Lite</v>
      </c>
      <c r="D130" s="9" t="str">
        <f>=样本清单!D130</f>
        <v>P3</v>
      </c>
      <c r="E130" s="9">
        <f>=样本清单!F130</f>
        <v>3</v>
      </c>
      <c r="F130" s="8">
        <v>2</v>
      </c>
      <c r="G130" s="8">
        <v>2</v>
      </c>
      <c r="H130" s="8">
        <v>2</v>
      </c>
      <c r="I130" s="8">
        <v>1</v>
      </c>
      <c r="J130" s="8">
        <v>2</v>
      </c>
      <c r="K130" s="8">
        <v>2</v>
      </c>
      <c r="L130" s="8">
        <v>1</v>
      </c>
      <c r="M130" s="8">
        <v>2</v>
      </c>
      <c r="N130" s="8">
        <v>2</v>
      </c>
      <c r="O130" s="8">
        <v>2</v>
      </c>
      <c r="P130" s="8">
        <v>0</v>
      </c>
      <c r="Q130" s="8">
        <v>0</v>
      </c>
      <c r="R130" s="8">
        <v>2</v>
      </c>
      <c r="S130" s="8">
        <v>2</v>
      </c>
      <c r="T130" s="8">
        <v>2</v>
      </c>
      <c r="U130" s="8">
        <v>1</v>
      </c>
      <c r="V130" s="8">
        <v>1</v>
      </c>
      <c r="W130" s="8">
        <v>1</v>
      </c>
      <c r="X130" s="8">
        <v>2</v>
      </c>
      <c r="Y130" s="8" t="s"/>
      <c r="Z130" s="5" t="s"/>
    </row>
    <row r="131" spans="1:26">
      <c r="A131" s="9" t="str">
        <f>=样本清单!A131</f>
        <v>M5_P3_04</v>
      </c>
      <c r="B131" s="9" t="str">
        <f>=样本清单!B131</f>
        <v>M5</v>
      </c>
      <c r="C131" s="9" t="str">
        <f>=样本清单!C131</f>
        <v>Seedream 5.0 Lite</v>
      </c>
      <c r="D131" s="9" t="str">
        <f>=样本清单!D131</f>
        <v>P3</v>
      </c>
      <c r="E131" s="9">
        <f>=样本清单!F131</f>
        <v>4</v>
      </c>
      <c r="F131" s="8">
        <v>2</v>
      </c>
      <c r="G131" s="8">
        <v>2</v>
      </c>
      <c r="H131" s="8">
        <v>1</v>
      </c>
      <c r="I131" s="8">
        <v>1</v>
      </c>
      <c r="J131" s="8">
        <v>1</v>
      </c>
      <c r="K131" s="8">
        <v>1</v>
      </c>
      <c r="L131" s="8">
        <v>1</v>
      </c>
      <c r="M131" s="8">
        <v>2</v>
      </c>
      <c r="N131" s="8">
        <v>1</v>
      </c>
      <c r="O131" s="8">
        <v>1</v>
      </c>
      <c r="P131" s="8">
        <v>0</v>
      </c>
      <c r="Q131" s="8">
        <v>0</v>
      </c>
      <c r="R131" s="8">
        <v>2</v>
      </c>
      <c r="S131" s="8">
        <v>2</v>
      </c>
      <c r="T131" s="8">
        <v>2</v>
      </c>
      <c r="U131" s="8">
        <v>1</v>
      </c>
      <c r="V131" s="8">
        <v>2</v>
      </c>
      <c r="W131" s="8">
        <v>2</v>
      </c>
      <c r="X131" s="8">
        <v>2</v>
      </c>
      <c r="Y131" s="8" t="s"/>
      <c r="Z131" s="5" t="s"/>
    </row>
    <row r="132" spans="1:26">
      <c r="A132" s="9" t="str">
        <f>=样本清单!A132</f>
        <v>M5_P3_05</v>
      </c>
      <c r="B132" s="9" t="str">
        <f>=样本清单!B132</f>
        <v>M5</v>
      </c>
      <c r="C132" s="9" t="str">
        <f>=样本清单!C132</f>
        <v>Seedream 5.0 Lite</v>
      </c>
      <c r="D132" s="9" t="str">
        <f>=样本清单!D132</f>
        <v>P3</v>
      </c>
      <c r="E132" s="9">
        <f>=样本清单!F132</f>
        <v>5</v>
      </c>
      <c r="F132" s="8">
        <v>2</v>
      </c>
      <c r="G132" s="8">
        <v>2</v>
      </c>
      <c r="H132" s="8">
        <v>2</v>
      </c>
      <c r="I132" s="8">
        <v>1</v>
      </c>
      <c r="J132" s="8">
        <v>1</v>
      </c>
      <c r="K132" s="8">
        <v>1</v>
      </c>
      <c r="L132" s="8">
        <v>2</v>
      </c>
      <c r="M132" s="8">
        <v>2</v>
      </c>
      <c r="N132" s="8">
        <v>2</v>
      </c>
      <c r="O132" s="8">
        <v>1</v>
      </c>
      <c r="P132" s="8">
        <v>0</v>
      </c>
      <c r="Q132" s="8">
        <v>0</v>
      </c>
      <c r="R132" s="8">
        <v>0</v>
      </c>
      <c r="S132" s="8">
        <v>2</v>
      </c>
      <c r="T132" s="8">
        <v>2</v>
      </c>
      <c r="U132" s="8">
        <v>2</v>
      </c>
      <c r="V132" s="8">
        <v>1</v>
      </c>
      <c r="W132" s="8">
        <v>2</v>
      </c>
      <c r="X132" s="8">
        <v>2</v>
      </c>
      <c r="Y132" s="8" t="s"/>
      <c r="Z132" s="5" t="s"/>
    </row>
    <row r="133" spans="1:26">
      <c r="A133" s="9" t="str">
        <f>=样本清单!A133</f>
        <v>M5_P3_06</v>
      </c>
      <c r="B133" s="9" t="str">
        <f>=样本清单!B133</f>
        <v>M5</v>
      </c>
      <c r="C133" s="9" t="str">
        <f>=样本清单!C133</f>
        <v>Seedream 5.0 Lite</v>
      </c>
      <c r="D133" s="9" t="str">
        <f>=样本清单!D133</f>
        <v>P3</v>
      </c>
      <c r="E133" s="9">
        <f>=样本清单!F133</f>
        <v>6</v>
      </c>
      <c r="F133" s="8">
        <v>2</v>
      </c>
      <c r="G133" s="8">
        <v>2</v>
      </c>
      <c r="H133" s="8">
        <v>2</v>
      </c>
      <c r="I133" s="8">
        <v>1</v>
      </c>
      <c r="J133" s="8">
        <v>2</v>
      </c>
      <c r="K133" s="8">
        <v>2</v>
      </c>
      <c r="L133" s="8">
        <v>2</v>
      </c>
      <c r="M133" s="8">
        <v>2</v>
      </c>
      <c r="N133" s="8">
        <v>2</v>
      </c>
      <c r="O133" s="8">
        <v>2</v>
      </c>
      <c r="P133" s="8">
        <v>0</v>
      </c>
      <c r="Q133" s="8">
        <v>0</v>
      </c>
      <c r="R133" s="8">
        <v>1</v>
      </c>
      <c r="S133" s="8">
        <v>2</v>
      </c>
      <c r="T133" s="8">
        <v>2</v>
      </c>
      <c r="U133" s="8">
        <v>2</v>
      </c>
      <c r="V133" s="8">
        <v>2</v>
      </c>
      <c r="W133" s="8">
        <v>2</v>
      </c>
      <c r="X133" s="8">
        <v>2</v>
      </c>
      <c r="Y133" s="8" t="s"/>
      <c r="Z133" s="5" t="s"/>
    </row>
    <row r="134" spans="1:26">
      <c r="A134" s="9" t="str">
        <f>=样本清单!A134</f>
        <v>M5_P3_07</v>
      </c>
      <c r="B134" s="9" t="str">
        <f>=样本清单!B134</f>
        <v>M5</v>
      </c>
      <c r="C134" s="9" t="str">
        <f>=样本清单!C134</f>
        <v>Seedream 5.0 Lite</v>
      </c>
      <c r="D134" s="9" t="str">
        <f>=样本清单!D134</f>
        <v>P3</v>
      </c>
      <c r="E134" s="9">
        <f>=样本清单!F134</f>
        <v>7</v>
      </c>
      <c r="F134" s="8">
        <v>2</v>
      </c>
      <c r="G134" s="8">
        <v>1</v>
      </c>
      <c r="H134" s="8">
        <v>2</v>
      </c>
      <c r="I134" s="8">
        <v>2</v>
      </c>
      <c r="J134" s="8">
        <v>2</v>
      </c>
      <c r="K134" s="8">
        <v>1</v>
      </c>
      <c r="L134" s="8">
        <v>2</v>
      </c>
      <c r="M134" s="8">
        <v>2</v>
      </c>
      <c r="N134" s="8">
        <v>2</v>
      </c>
      <c r="O134" s="8">
        <v>2</v>
      </c>
      <c r="P134" s="8">
        <v>0</v>
      </c>
      <c r="Q134" s="8">
        <v>0</v>
      </c>
      <c r="R134" s="8">
        <v>1</v>
      </c>
      <c r="S134" s="8">
        <v>2</v>
      </c>
      <c r="T134" s="8">
        <v>2</v>
      </c>
      <c r="U134" s="8">
        <v>2</v>
      </c>
      <c r="V134" s="8">
        <v>2</v>
      </c>
      <c r="W134" s="8">
        <v>2</v>
      </c>
      <c r="X134" s="8">
        <v>2</v>
      </c>
      <c r="Y134" s="8" t="s"/>
      <c r="Z134" s="5" t="s"/>
    </row>
    <row r="135" spans="1:26">
      <c r="A135" s="9" t="str">
        <f>=样本清单!A135</f>
        <v>M5_P3_08</v>
      </c>
      <c r="B135" s="9" t="str">
        <f>=样本清单!B135</f>
        <v>M5</v>
      </c>
      <c r="C135" s="9" t="str">
        <f>=样本清单!C135</f>
        <v>Seedream 5.0 Lite</v>
      </c>
      <c r="D135" s="9" t="str">
        <f>=样本清单!D135</f>
        <v>P3</v>
      </c>
      <c r="E135" s="9">
        <f>=样本清单!F135</f>
        <v>8</v>
      </c>
      <c r="F135" s="8">
        <v>2</v>
      </c>
      <c r="G135" s="8">
        <v>2</v>
      </c>
      <c r="H135" s="8">
        <v>2</v>
      </c>
      <c r="I135" s="8">
        <v>1</v>
      </c>
      <c r="J135" s="8">
        <v>1</v>
      </c>
      <c r="K135" s="8">
        <v>1</v>
      </c>
      <c r="L135" s="8" t="s">
        <v>607</v>
      </c>
      <c r="M135" s="8">
        <v>2</v>
      </c>
      <c r="N135" s="8">
        <v>1</v>
      </c>
      <c r="O135" s="8">
        <v>2</v>
      </c>
      <c r="P135" s="8">
        <v>0</v>
      </c>
      <c r="Q135" s="8">
        <v>1</v>
      </c>
      <c r="R135" s="8">
        <v>0</v>
      </c>
      <c r="S135" s="8">
        <v>1</v>
      </c>
      <c r="T135" s="8">
        <v>2</v>
      </c>
      <c r="U135" s="8">
        <v>2</v>
      </c>
      <c r="V135" s="8">
        <v>2</v>
      </c>
      <c r="W135" s="8">
        <v>2</v>
      </c>
      <c r="X135" s="8">
        <v>1</v>
      </c>
      <c r="Y135" s="8" t="s"/>
      <c r="Z135" s="5" t="s"/>
    </row>
    <row r="136" spans="1:26">
      <c r="A136" s="9" t="str">
        <f>=样本清单!A136</f>
        <v>M5_P3_09</v>
      </c>
      <c r="B136" s="9" t="str">
        <f>=样本清单!B136</f>
        <v>M5</v>
      </c>
      <c r="C136" s="9" t="str">
        <f>=样本清单!C136</f>
        <v>Seedream 5.0 Lite</v>
      </c>
      <c r="D136" s="9" t="str">
        <f>=样本清单!D136</f>
        <v>P3</v>
      </c>
      <c r="E136" s="9">
        <f>=样本清单!F136</f>
        <v>9</v>
      </c>
      <c r="F136" s="8">
        <v>2</v>
      </c>
      <c r="G136" s="8">
        <v>1</v>
      </c>
      <c r="H136" s="8">
        <v>2</v>
      </c>
      <c r="I136" s="8">
        <v>1</v>
      </c>
      <c r="J136" s="8">
        <v>2</v>
      </c>
      <c r="K136" s="8">
        <v>1</v>
      </c>
      <c r="L136" s="8">
        <v>2</v>
      </c>
      <c r="M136" s="8">
        <v>2</v>
      </c>
      <c r="N136" s="8">
        <v>1</v>
      </c>
      <c r="O136" s="8">
        <v>2</v>
      </c>
      <c r="P136" s="8">
        <v>0</v>
      </c>
      <c r="Q136" s="8">
        <v>0</v>
      </c>
      <c r="R136" s="8">
        <v>0</v>
      </c>
      <c r="S136" s="8">
        <v>2</v>
      </c>
      <c r="T136" s="8">
        <v>1</v>
      </c>
      <c r="U136" s="8">
        <v>0</v>
      </c>
      <c r="V136" s="8">
        <v>1</v>
      </c>
      <c r="W136" s="8">
        <v>1</v>
      </c>
      <c r="X136" s="8">
        <v>1</v>
      </c>
      <c r="Y136" s="8" t="s"/>
      <c r="Z136" s="5" t="s"/>
    </row>
    <row r="137" spans="1:26">
      <c r="A137" s="9" t="str">
        <f>=样本清单!A137</f>
        <v>M6_P1_01</v>
      </c>
      <c r="B137" s="9" t="str">
        <f>=样本清单!B137</f>
        <v>M6</v>
      </c>
      <c r="C137" s="9" t="str">
        <f>=样本清单!C137</f>
        <v>HunyuanImage-3.0</v>
      </c>
      <c r="D137" s="9" t="str">
        <f>=样本清单!D137</f>
        <v>P1</v>
      </c>
      <c r="E137" s="9">
        <f>=样本清单!F137</f>
        <v>1</v>
      </c>
      <c r="F137" s="8">
        <v>2</v>
      </c>
      <c r="G137" s="8">
        <v>1</v>
      </c>
      <c r="H137" s="8">
        <v>2</v>
      </c>
      <c r="I137" s="8">
        <v>1</v>
      </c>
      <c r="J137" s="8">
        <v>1</v>
      </c>
      <c r="K137" s="8">
        <v>2</v>
      </c>
      <c r="L137" s="8">
        <v>2</v>
      </c>
      <c r="M137" s="8">
        <v>2</v>
      </c>
      <c r="N137" s="8" t="s">
        <v>607</v>
      </c>
      <c r="O137" s="8">
        <v>1</v>
      </c>
      <c r="P137" s="8">
        <v>2</v>
      </c>
      <c r="Q137" s="8">
        <v>2</v>
      </c>
      <c r="R137" s="8">
        <v>2</v>
      </c>
      <c r="S137" s="8">
        <v>1</v>
      </c>
      <c r="T137" s="8">
        <v>2</v>
      </c>
      <c r="U137" s="8">
        <v>0</v>
      </c>
      <c r="V137" s="8">
        <v>1</v>
      </c>
      <c r="W137" s="8">
        <v>2</v>
      </c>
      <c r="X137" s="8">
        <v>2</v>
      </c>
      <c r="Y137" s="8" t="s"/>
      <c r="Z137" s="5" t="s"/>
    </row>
    <row r="138" spans="1:26">
      <c r="A138" s="9" t="str">
        <f>=样本清单!A138</f>
        <v>M6_P1_02</v>
      </c>
      <c r="B138" s="9" t="str">
        <f>=样本清单!B138</f>
        <v>M6</v>
      </c>
      <c r="C138" s="9" t="str">
        <f>=样本清单!C138</f>
        <v>HunyuanImage-3.0</v>
      </c>
      <c r="D138" s="9" t="str">
        <f>=样本清单!D138</f>
        <v>P1</v>
      </c>
      <c r="E138" s="9">
        <f>=样本清单!F138</f>
        <v>2</v>
      </c>
      <c r="F138" s="8">
        <v>1</v>
      </c>
      <c r="G138" s="8">
        <v>0</v>
      </c>
      <c r="H138" s="8">
        <v>1</v>
      </c>
      <c r="I138" s="8">
        <v>2</v>
      </c>
      <c r="J138" s="8">
        <v>2</v>
      </c>
      <c r="K138" s="8">
        <v>1</v>
      </c>
      <c r="L138" s="8">
        <v>2</v>
      </c>
      <c r="M138" s="8">
        <v>2</v>
      </c>
      <c r="N138" s="8" t="s">
        <v>607</v>
      </c>
      <c r="O138" s="8">
        <v>2</v>
      </c>
      <c r="P138" s="8">
        <v>2</v>
      </c>
      <c r="Q138" s="8">
        <v>2</v>
      </c>
      <c r="R138" s="8">
        <v>2</v>
      </c>
      <c r="S138" s="8">
        <v>2</v>
      </c>
      <c r="T138" s="8">
        <v>1</v>
      </c>
      <c r="U138" s="8">
        <v>1</v>
      </c>
      <c r="V138" s="8">
        <v>1</v>
      </c>
      <c r="W138" s="8">
        <v>1</v>
      </c>
      <c r="X138" s="8">
        <v>2</v>
      </c>
      <c r="Y138" s="8" t="s"/>
      <c r="Z138" s="5" t="s"/>
    </row>
    <row r="139" spans="1:26">
      <c r="A139" s="9" t="str">
        <f>=样本清单!A139</f>
        <v>M6_P1_03</v>
      </c>
      <c r="B139" s="9" t="str">
        <f>=样本清单!B139</f>
        <v>M6</v>
      </c>
      <c r="C139" s="9" t="str">
        <f>=样本清单!C139</f>
        <v>HunyuanImage-3.0</v>
      </c>
      <c r="D139" s="9" t="str">
        <f>=样本清单!D139</f>
        <v>P1</v>
      </c>
      <c r="E139" s="9">
        <f>=样本清单!F139</f>
        <v>3</v>
      </c>
      <c r="F139" s="8">
        <v>2</v>
      </c>
      <c r="G139" s="8">
        <v>2</v>
      </c>
      <c r="H139" s="8">
        <v>2</v>
      </c>
      <c r="I139" s="8">
        <v>2</v>
      </c>
      <c r="J139" s="8">
        <v>2</v>
      </c>
      <c r="K139" s="8">
        <v>2</v>
      </c>
      <c r="L139" s="8">
        <v>2</v>
      </c>
      <c r="M139" s="8">
        <v>2</v>
      </c>
      <c r="N139" s="8">
        <v>1</v>
      </c>
      <c r="O139" s="8">
        <v>2</v>
      </c>
      <c r="P139" s="8">
        <v>2</v>
      </c>
      <c r="Q139" s="8">
        <v>2</v>
      </c>
      <c r="R139" s="8">
        <v>2</v>
      </c>
      <c r="S139" s="8">
        <v>2</v>
      </c>
      <c r="T139" s="8">
        <v>2</v>
      </c>
      <c r="U139" s="8">
        <v>1</v>
      </c>
      <c r="V139" s="8">
        <v>1</v>
      </c>
      <c r="W139" s="8">
        <v>2</v>
      </c>
      <c r="X139" s="8">
        <v>2</v>
      </c>
      <c r="Y139" s="8" t="s"/>
      <c r="Z139" s="5" t="s"/>
    </row>
    <row r="140" spans="1:26">
      <c r="A140" s="9" t="str">
        <f>=样本清单!A140</f>
        <v>M6_P1_04</v>
      </c>
      <c r="B140" s="9" t="str">
        <f>=样本清单!B140</f>
        <v>M6</v>
      </c>
      <c r="C140" s="9" t="str">
        <f>=样本清单!C140</f>
        <v>HunyuanImage-3.0</v>
      </c>
      <c r="D140" s="9" t="str">
        <f>=样本清单!D140</f>
        <v>P1</v>
      </c>
      <c r="E140" s="9">
        <f>=样本清单!F140</f>
        <v>4</v>
      </c>
      <c r="F140" s="8">
        <v>2</v>
      </c>
      <c r="G140" s="8">
        <v>0</v>
      </c>
      <c r="H140" s="8">
        <v>2</v>
      </c>
      <c r="I140" s="8">
        <v>2</v>
      </c>
      <c r="J140" s="8">
        <v>2</v>
      </c>
      <c r="K140" s="8">
        <v>2</v>
      </c>
      <c r="L140" s="8">
        <v>2</v>
      </c>
      <c r="M140" s="8">
        <v>2</v>
      </c>
      <c r="N140" s="8">
        <v>0</v>
      </c>
      <c r="O140" s="8">
        <v>2</v>
      </c>
      <c r="P140" s="8">
        <v>2</v>
      </c>
      <c r="Q140" s="8">
        <v>2</v>
      </c>
      <c r="R140" s="8">
        <v>2</v>
      </c>
      <c r="S140" s="8">
        <v>2</v>
      </c>
      <c r="T140" s="8">
        <v>2</v>
      </c>
      <c r="U140" s="8">
        <v>2</v>
      </c>
      <c r="V140" s="8">
        <v>1</v>
      </c>
      <c r="W140" s="8">
        <v>2</v>
      </c>
      <c r="X140" s="8">
        <v>2</v>
      </c>
      <c r="Y140" s="8" t="s"/>
      <c r="Z140" s="5" t="s"/>
    </row>
    <row r="141" spans="1:26">
      <c r="A141" s="9" t="str">
        <f>=样本清单!A141</f>
        <v>M6_P1_05</v>
      </c>
      <c r="B141" s="9" t="str">
        <f>=样本清单!B141</f>
        <v>M6</v>
      </c>
      <c r="C141" s="9" t="str">
        <f>=样本清单!C141</f>
        <v>HunyuanImage-3.0</v>
      </c>
      <c r="D141" s="9" t="str">
        <f>=样本清单!D141</f>
        <v>P1</v>
      </c>
      <c r="E141" s="9">
        <f>=样本清单!F141</f>
        <v>5</v>
      </c>
      <c r="F141" s="8">
        <v>2</v>
      </c>
      <c r="G141" s="8">
        <v>0</v>
      </c>
      <c r="H141" s="8">
        <v>2</v>
      </c>
      <c r="I141" s="8">
        <v>1</v>
      </c>
      <c r="J141" s="8">
        <v>2</v>
      </c>
      <c r="K141" s="8">
        <v>2</v>
      </c>
      <c r="L141" s="8">
        <v>2</v>
      </c>
      <c r="M141" s="8">
        <v>1</v>
      </c>
      <c r="N141" s="8" t="s">
        <v>607</v>
      </c>
      <c r="O141" s="8">
        <v>2</v>
      </c>
      <c r="P141" s="8">
        <v>2</v>
      </c>
      <c r="Q141" s="8">
        <v>2</v>
      </c>
      <c r="R141" s="8">
        <v>2</v>
      </c>
      <c r="S141" s="8">
        <v>2</v>
      </c>
      <c r="T141" s="8">
        <v>1</v>
      </c>
      <c r="U141" s="8">
        <v>2</v>
      </c>
      <c r="V141" s="8">
        <v>1</v>
      </c>
      <c r="W141" s="8">
        <v>2</v>
      </c>
      <c r="X141" s="8">
        <v>2</v>
      </c>
      <c r="Y141" s="8" t="s"/>
      <c r="Z141" s="5" t="s"/>
    </row>
    <row r="142" spans="1:26">
      <c r="A142" s="9" t="str">
        <f>=样本清单!A142</f>
        <v>M6_P1_06</v>
      </c>
      <c r="B142" s="9" t="str">
        <f>=样本清单!B142</f>
        <v>M6</v>
      </c>
      <c r="C142" s="9" t="str">
        <f>=样本清单!C142</f>
        <v>HunyuanImage-3.0</v>
      </c>
      <c r="D142" s="9" t="str">
        <f>=样本清单!D142</f>
        <v>P1</v>
      </c>
      <c r="E142" s="9">
        <f>=样本清单!F142</f>
        <v>6</v>
      </c>
      <c r="F142" s="8">
        <v>1</v>
      </c>
      <c r="G142" s="8">
        <v>2</v>
      </c>
      <c r="H142" s="8">
        <v>2</v>
      </c>
      <c r="I142" s="8">
        <v>1</v>
      </c>
      <c r="J142" s="8">
        <v>2</v>
      </c>
      <c r="K142" s="8">
        <v>0</v>
      </c>
      <c r="L142" s="8">
        <v>2</v>
      </c>
      <c r="M142" s="8">
        <v>2</v>
      </c>
      <c r="N142" s="8" t="s">
        <v>607</v>
      </c>
      <c r="O142" s="8">
        <v>2</v>
      </c>
      <c r="P142" s="8">
        <v>0</v>
      </c>
      <c r="Q142" s="8">
        <v>0</v>
      </c>
      <c r="R142" s="8">
        <v>0</v>
      </c>
      <c r="S142" s="8">
        <v>2</v>
      </c>
      <c r="T142" s="8">
        <v>0</v>
      </c>
      <c r="U142" s="8">
        <v>1</v>
      </c>
      <c r="V142" s="8">
        <v>1</v>
      </c>
      <c r="W142" s="8">
        <v>2</v>
      </c>
      <c r="X142" s="8">
        <v>2</v>
      </c>
      <c r="Y142" s="8" t="s"/>
      <c r="Z142" s="5" t="s"/>
    </row>
    <row r="143" spans="1:26">
      <c r="A143" s="9" t="str">
        <f>=样本清单!A143</f>
        <v>M6_P1_07</v>
      </c>
      <c r="B143" s="9" t="str">
        <f>=样本清单!B143</f>
        <v>M6</v>
      </c>
      <c r="C143" s="9" t="str">
        <f>=样本清单!C143</f>
        <v>HunyuanImage-3.0</v>
      </c>
      <c r="D143" s="9" t="str">
        <f>=样本清单!D143</f>
        <v>P1</v>
      </c>
      <c r="E143" s="9">
        <f>=样本清单!F143</f>
        <v>7</v>
      </c>
      <c r="F143" s="8">
        <v>2</v>
      </c>
      <c r="G143" s="8">
        <v>1</v>
      </c>
      <c r="H143" s="8">
        <v>2</v>
      </c>
      <c r="I143" s="8">
        <v>2</v>
      </c>
      <c r="J143" s="8">
        <v>2</v>
      </c>
      <c r="K143" s="8">
        <v>2</v>
      </c>
      <c r="L143" s="8">
        <v>2</v>
      </c>
      <c r="M143" s="8">
        <v>1</v>
      </c>
      <c r="N143" s="8" t="s">
        <v>607</v>
      </c>
      <c r="O143" s="8">
        <v>2</v>
      </c>
      <c r="P143" s="8">
        <v>2</v>
      </c>
      <c r="Q143" s="8">
        <v>2</v>
      </c>
      <c r="R143" s="8">
        <v>2</v>
      </c>
      <c r="S143" s="8">
        <v>2</v>
      </c>
      <c r="T143" s="8">
        <v>1</v>
      </c>
      <c r="U143" s="8">
        <v>1</v>
      </c>
      <c r="V143" s="8">
        <v>2</v>
      </c>
      <c r="W143" s="8">
        <v>2</v>
      </c>
      <c r="X143" s="8">
        <v>2</v>
      </c>
      <c r="Y143" s="8" t="s"/>
      <c r="Z143" s="5" t="s"/>
    </row>
    <row r="144" spans="1:26">
      <c r="A144" s="9" t="str">
        <f>=样本清单!A144</f>
        <v>M6_P1_08</v>
      </c>
      <c r="B144" s="9" t="str">
        <f>=样本清单!B144</f>
        <v>M6</v>
      </c>
      <c r="C144" s="9" t="str">
        <f>=样本清单!C144</f>
        <v>HunyuanImage-3.0</v>
      </c>
      <c r="D144" s="9" t="str">
        <f>=样本清单!D144</f>
        <v>P1</v>
      </c>
      <c r="E144" s="9">
        <f>=样本清单!F144</f>
        <v>8</v>
      </c>
      <c r="F144" s="8">
        <v>2</v>
      </c>
      <c r="G144" s="8">
        <v>2</v>
      </c>
      <c r="H144" s="8">
        <v>2</v>
      </c>
      <c r="I144" s="8">
        <v>1</v>
      </c>
      <c r="J144" s="8">
        <v>2</v>
      </c>
      <c r="K144" s="8">
        <v>2</v>
      </c>
      <c r="L144" s="8">
        <v>2</v>
      </c>
      <c r="M144" s="8">
        <v>2</v>
      </c>
      <c r="N144" s="8" t="s">
        <v>607</v>
      </c>
      <c r="O144" s="8">
        <v>2</v>
      </c>
      <c r="P144" s="8">
        <v>2</v>
      </c>
      <c r="Q144" s="8">
        <v>2</v>
      </c>
      <c r="R144" s="8">
        <v>2</v>
      </c>
      <c r="S144" s="8">
        <v>1</v>
      </c>
      <c r="T144" s="8">
        <v>1</v>
      </c>
      <c r="U144" s="8">
        <v>2</v>
      </c>
      <c r="V144" s="8">
        <v>1</v>
      </c>
      <c r="W144" s="8">
        <v>2</v>
      </c>
      <c r="X144" s="8">
        <v>2</v>
      </c>
      <c r="Y144" s="8" t="s"/>
      <c r="Z144" s="5" t="s"/>
    </row>
    <row r="145" spans="1:26">
      <c r="A145" s="9" t="str">
        <f>=样本清单!A145</f>
        <v>M6_P1_09</v>
      </c>
      <c r="B145" s="9" t="str">
        <f>=样本清单!B145</f>
        <v>M6</v>
      </c>
      <c r="C145" s="9" t="str">
        <f>=样本清单!C145</f>
        <v>HunyuanImage-3.0</v>
      </c>
      <c r="D145" s="9" t="str">
        <f>=样本清单!D145</f>
        <v>P1</v>
      </c>
      <c r="E145" s="9">
        <f>=样本清单!F145</f>
        <v>9</v>
      </c>
      <c r="F145" s="8">
        <v>2</v>
      </c>
      <c r="G145" s="8">
        <v>2</v>
      </c>
      <c r="H145" s="8">
        <v>2</v>
      </c>
      <c r="I145" s="8">
        <v>1</v>
      </c>
      <c r="J145" s="8">
        <v>2</v>
      </c>
      <c r="K145" s="8">
        <v>1</v>
      </c>
      <c r="L145" s="8">
        <v>2</v>
      </c>
      <c r="M145" s="8">
        <v>2</v>
      </c>
      <c r="N145" s="8" t="s">
        <v>607</v>
      </c>
      <c r="O145" s="8">
        <v>2</v>
      </c>
      <c r="P145" s="8">
        <v>2</v>
      </c>
      <c r="Q145" s="8">
        <v>2</v>
      </c>
      <c r="R145" s="8">
        <v>2</v>
      </c>
      <c r="S145" s="8">
        <v>2</v>
      </c>
      <c r="T145" s="8">
        <v>2</v>
      </c>
      <c r="U145" s="8">
        <v>1</v>
      </c>
      <c r="V145" s="8">
        <v>1</v>
      </c>
      <c r="W145" s="8">
        <v>2</v>
      </c>
      <c r="X145" s="8">
        <v>2</v>
      </c>
      <c r="Y145" s="8" t="s"/>
      <c r="Z145" s="5" t="s"/>
    </row>
    <row r="146" spans="1:26">
      <c r="A146" s="9" t="str">
        <f>=样本清单!A146</f>
        <v>M6_P2_01</v>
      </c>
      <c r="B146" s="9" t="str">
        <f>=样本清单!B146</f>
        <v>M6</v>
      </c>
      <c r="C146" s="9" t="str">
        <f>=样本清单!C146</f>
        <v>HunyuanImage-3.0</v>
      </c>
      <c r="D146" s="9" t="str">
        <f>=样本清单!D146</f>
        <v>P2</v>
      </c>
      <c r="E146" s="9">
        <f>=样本清单!F146</f>
        <v>1</v>
      </c>
      <c r="F146" s="8">
        <v>2</v>
      </c>
      <c r="G146" s="8">
        <v>2</v>
      </c>
      <c r="H146" s="8">
        <v>2</v>
      </c>
      <c r="I146" s="8">
        <v>2</v>
      </c>
      <c r="J146" s="8">
        <v>2</v>
      </c>
      <c r="K146" s="8">
        <v>2</v>
      </c>
      <c r="L146" s="8">
        <v>1</v>
      </c>
      <c r="M146" s="8">
        <v>2</v>
      </c>
      <c r="N146" s="8" t="s">
        <v>607</v>
      </c>
      <c r="O146" s="8">
        <v>2</v>
      </c>
      <c r="P146" s="8">
        <v>2</v>
      </c>
      <c r="Q146" s="8">
        <v>2</v>
      </c>
      <c r="R146" s="8">
        <v>2</v>
      </c>
      <c r="S146" s="8">
        <v>2</v>
      </c>
      <c r="T146" s="8">
        <v>2</v>
      </c>
      <c r="U146" s="8">
        <v>1</v>
      </c>
      <c r="V146" s="8">
        <v>1</v>
      </c>
      <c r="W146" s="8">
        <v>2</v>
      </c>
      <c r="X146" s="8">
        <v>2</v>
      </c>
      <c r="Y146" s="8" t="s"/>
      <c r="Z146" s="5" t="s"/>
    </row>
    <row r="147" spans="1:26">
      <c r="A147" s="9" t="str">
        <f>=样本清单!A147</f>
        <v>M6_P2_02</v>
      </c>
      <c r="B147" s="9" t="str">
        <f>=样本清单!B147</f>
        <v>M6</v>
      </c>
      <c r="C147" s="9" t="str">
        <f>=样本清单!C147</f>
        <v>HunyuanImage-3.0</v>
      </c>
      <c r="D147" s="9" t="str">
        <f>=样本清单!D147</f>
        <v>P2</v>
      </c>
      <c r="E147" s="9">
        <f>=样本清单!F147</f>
        <v>2</v>
      </c>
      <c r="F147" s="8">
        <v>2</v>
      </c>
      <c r="G147" s="8">
        <v>1</v>
      </c>
      <c r="H147" s="8">
        <v>2</v>
      </c>
      <c r="I147" s="8">
        <v>2</v>
      </c>
      <c r="J147" s="8">
        <v>1</v>
      </c>
      <c r="K147" s="8">
        <v>2</v>
      </c>
      <c r="L147" s="8">
        <v>2</v>
      </c>
      <c r="M147" s="8">
        <v>2</v>
      </c>
      <c r="N147" s="8" t="s">
        <v>607</v>
      </c>
      <c r="O147" s="8">
        <v>2</v>
      </c>
      <c r="P147" s="8">
        <v>2</v>
      </c>
      <c r="Q147" s="8">
        <v>2</v>
      </c>
      <c r="R147" s="8">
        <v>2</v>
      </c>
      <c r="S147" s="8">
        <v>2</v>
      </c>
      <c r="T147" s="8">
        <v>2</v>
      </c>
      <c r="U147" s="8">
        <v>2</v>
      </c>
      <c r="V147" s="8">
        <v>2</v>
      </c>
      <c r="W147" s="8">
        <v>2</v>
      </c>
      <c r="X147" s="8">
        <v>2</v>
      </c>
      <c r="Y147" s="8" t="s"/>
      <c r="Z147" s="5" t="s"/>
    </row>
    <row r="148" spans="1:26">
      <c r="A148" s="9" t="str">
        <f>=样本清单!A148</f>
        <v>M6_P2_03</v>
      </c>
      <c r="B148" s="9" t="str">
        <f>=样本清单!B148</f>
        <v>M6</v>
      </c>
      <c r="C148" s="9" t="str">
        <f>=样本清单!C148</f>
        <v>HunyuanImage-3.0</v>
      </c>
      <c r="D148" s="9" t="str">
        <f>=样本清单!D148</f>
        <v>P2</v>
      </c>
      <c r="E148" s="9">
        <f>=样本清单!F148</f>
        <v>3</v>
      </c>
      <c r="F148" s="8">
        <v>2</v>
      </c>
      <c r="G148" s="8">
        <v>1</v>
      </c>
      <c r="H148" s="8">
        <v>2</v>
      </c>
      <c r="I148" s="8">
        <v>1</v>
      </c>
      <c r="J148" s="8">
        <v>2</v>
      </c>
      <c r="K148" s="8">
        <v>1</v>
      </c>
      <c r="L148" s="8">
        <v>2</v>
      </c>
      <c r="M148" s="8">
        <v>2</v>
      </c>
      <c r="N148" s="8" t="s">
        <v>607</v>
      </c>
      <c r="O148" s="8">
        <v>2</v>
      </c>
      <c r="P148" s="8">
        <v>0</v>
      </c>
      <c r="Q148" s="8">
        <v>1</v>
      </c>
      <c r="R148" s="8">
        <v>2</v>
      </c>
      <c r="S148" s="8">
        <v>2</v>
      </c>
      <c r="T148" s="8">
        <v>2</v>
      </c>
      <c r="U148" s="8">
        <v>2</v>
      </c>
      <c r="V148" s="8">
        <v>1</v>
      </c>
      <c r="W148" s="8">
        <v>2</v>
      </c>
      <c r="X148" s="8">
        <v>2</v>
      </c>
      <c r="Y148" s="8" t="s"/>
      <c r="Z148" s="5" t="s"/>
    </row>
    <row r="149" spans="1:26">
      <c r="A149" s="9" t="str">
        <f>=样本清单!A149</f>
        <v>M6_P2_04</v>
      </c>
      <c r="B149" s="9" t="str">
        <f>=样本清单!B149</f>
        <v>M6</v>
      </c>
      <c r="C149" s="9" t="str">
        <f>=样本清单!C149</f>
        <v>HunyuanImage-3.0</v>
      </c>
      <c r="D149" s="9" t="str">
        <f>=样本清单!D149</f>
        <v>P2</v>
      </c>
      <c r="E149" s="9">
        <f>=样本清单!F149</f>
        <v>4</v>
      </c>
      <c r="F149" s="8">
        <v>2</v>
      </c>
      <c r="G149" s="8">
        <v>1</v>
      </c>
      <c r="H149" s="8">
        <v>2</v>
      </c>
      <c r="I149" s="8">
        <v>1</v>
      </c>
      <c r="J149" s="8">
        <v>2</v>
      </c>
      <c r="K149" s="8">
        <v>2</v>
      </c>
      <c r="L149" s="8">
        <v>2</v>
      </c>
      <c r="M149" s="8">
        <v>2</v>
      </c>
      <c r="N149" s="8" t="s">
        <v>607</v>
      </c>
      <c r="O149" s="8">
        <v>2</v>
      </c>
      <c r="P149" s="8">
        <v>2</v>
      </c>
      <c r="Q149" s="8">
        <v>2</v>
      </c>
      <c r="R149" s="8">
        <v>2</v>
      </c>
      <c r="S149" s="8">
        <v>2</v>
      </c>
      <c r="T149" s="8">
        <v>1</v>
      </c>
      <c r="U149" s="8">
        <v>1</v>
      </c>
      <c r="V149" s="8">
        <v>2</v>
      </c>
      <c r="W149" s="8">
        <v>2</v>
      </c>
      <c r="X149" s="8">
        <v>2</v>
      </c>
      <c r="Y149" s="8" t="s"/>
      <c r="Z149" s="5" t="s"/>
    </row>
    <row r="150" spans="1:26">
      <c r="A150" s="9" t="str">
        <f>=样本清单!A150</f>
        <v>M6_P2_05</v>
      </c>
      <c r="B150" s="9" t="str">
        <f>=样本清单!B150</f>
        <v>M6</v>
      </c>
      <c r="C150" s="9" t="str">
        <f>=样本清单!C150</f>
        <v>HunyuanImage-3.0</v>
      </c>
      <c r="D150" s="9" t="str">
        <f>=样本清单!D150</f>
        <v>P2</v>
      </c>
      <c r="E150" s="9">
        <f>=样本清单!F150</f>
        <v>5</v>
      </c>
      <c r="F150" s="8">
        <v>2</v>
      </c>
      <c r="G150" s="8">
        <v>1</v>
      </c>
      <c r="H150" s="8">
        <v>2</v>
      </c>
      <c r="I150" s="8">
        <v>1</v>
      </c>
      <c r="J150" s="8">
        <v>1</v>
      </c>
      <c r="K150" s="8">
        <v>2</v>
      </c>
      <c r="L150" s="8">
        <v>2</v>
      </c>
      <c r="M150" s="8">
        <v>1</v>
      </c>
      <c r="N150" s="8" t="s">
        <v>607</v>
      </c>
      <c r="O150" s="8">
        <v>2</v>
      </c>
      <c r="P150" s="8">
        <v>2</v>
      </c>
      <c r="Q150" s="8">
        <v>2</v>
      </c>
      <c r="R150" s="8">
        <v>2</v>
      </c>
      <c r="S150" s="8">
        <v>2</v>
      </c>
      <c r="T150" s="8">
        <v>2</v>
      </c>
      <c r="U150" s="8">
        <v>2</v>
      </c>
      <c r="V150" s="8">
        <v>2</v>
      </c>
      <c r="W150" s="8">
        <v>2</v>
      </c>
      <c r="X150" s="8">
        <v>2</v>
      </c>
      <c r="Y150" s="8" t="s"/>
      <c r="Z150" s="5" t="s"/>
    </row>
    <row r="151" spans="1:26">
      <c r="A151" s="9" t="str">
        <f>=样本清单!A151</f>
        <v>M6_P2_06</v>
      </c>
      <c r="B151" s="9" t="str">
        <f>=样本清单!B151</f>
        <v>M6</v>
      </c>
      <c r="C151" s="9" t="str">
        <f>=样本清单!C151</f>
        <v>HunyuanImage-3.0</v>
      </c>
      <c r="D151" s="9" t="str">
        <f>=样本清单!D151</f>
        <v>P2</v>
      </c>
      <c r="E151" s="9">
        <f>=样本清单!F151</f>
        <v>6</v>
      </c>
      <c r="F151" s="8">
        <v>2</v>
      </c>
      <c r="G151" s="8">
        <v>2</v>
      </c>
      <c r="H151" s="8">
        <v>2</v>
      </c>
      <c r="I151" s="8">
        <v>2</v>
      </c>
      <c r="J151" s="8">
        <v>1</v>
      </c>
      <c r="K151" s="8">
        <v>1</v>
      </c>
      <c r="L151" s="8">
        <v>2</v>
      </c>
      <c r="M151" s="8">
        <v>2</v>
      </c>
      <c r="N151" s="8" t="s">
        <v>607</v>
      </c>
      <c r="O151" s="8">
        <v>2</v>
      </c>
      <c r="P151" s="8">
        <v>1</v>
      </c>
      <c r="Q151" s="8">
        <v>2</v>
      </c>
      <c r="R151" s="8">
        <v>2</v>
      </c>
      <c r="S151" s="8">
        <v>2</v>
      </c>
      <c r="T151" s="8">
        <v>1</v>
      </c>
      <c r="U151" s="8">
        <v>2</v>
      </c>
      <c r="V151" s="8">
        <v>2</v>
      </c>
      <c r="W151" s="8">
        <v>2</v>
      </c>
      <c r="X151" s="8">
        <v>2</v>
      </c>
      <c r="Y151" s="8" t="s"/>
      <c r="Z151" s="5" t="s"/>
    </row>
    <row r="152" spans="1:26">
      <c r="A152" s="9" t="str">
        <f>=样本清单!A152</f>
        <v>M6_P2_07</v>
      </c>
      <c r="B152" s="9" t="str">
        <f>=样本清单!B152</f>
        <v>M6</v>
      </c>
      <c r="C152" s="9" t="str">
        <f>=样本清单!C152</f>
        <v>HunyuanImage-3.0</v>
      </c>
      <c r="D152" s="9" t="str">
        <f>=样本清单!D152</f>
        <v>P2</v>
      </c>
      <c r="E152" s="9">
        <f>=样本清单!F152</f>
        <v>7</v>
      </c>
      <c r="F152" s="8">
        <v>2</v>
      </c>
      <c r="G152" s="8">
        <v>2</v>
      </c>
      <c r="H152" s="8">
        <v>2</v>
      </c>
      <c r="I152" s="8">
        <v>2</v>
      </c>
      <c r="J152" s="8">
        <v>2</v>
      </c>
      <c r="K152" s="8">
        <v>2</v>
      </c>
      <c r="L152" s="8">
        <v>2</v>
      </c>
      <c r="M152" s="8">
        <v>2</v>
      </c>
      <c r="N152" s="8" t="s">
        <v>607</v>
      </c>
      <c r="O152" s="8">
        <v>2</v>
      </c>
      <c r="P152" s="8">
        <v>2</v>
      </c>
      <c r="Q152" s="8">
        <v>2</v>
      </c>
      <c r="R152" s="8">
        <v>2</v>
      </c>
      <c r="S152" s="8">
        <v>2</v>
      </c>
      <c r="T152" s="8">
        <v>2</v>
      </c>
      <c r="U152" s="8">
        <v>2</v>
      </c>
      <c r="V152" s="8">
        <v>2</v>
      </c>
      <c r="W152" s="8">
        <v>2</v>
      </c>
      <c r="X152" s="8">
        <v>2</v>
      </c>
      <c r="Y152" s="8" t="s"/>
      <c r="Z152" s="5" t="s"/>
    </row>
    <row r="153" spans="1:26">
      <c r="A153" s="9" t="str">
        <f>=样本清单!A153</f>
        <v>M6_P2_08</v>
      </c>
      <c r="B153" s="9" t="str">
        <f>=样本清单!B153</f>
        <v>M6</v>
      </c>
      <c r="C153" s="9" t="str">
        <f>=样本清单!C153</f>
        <v>HunyuanImage-3.0</v>
      </c>
      <c r="D153" s="9" t="str">
        <f>=样本清单!D153</f>
        <v>P2</v>
      </c>
      <c r="E153" s="9">
        <f>=样本清单!F153</f>
        <v>8</v>
      </c>
      <c r="F153" s="8">
        <v>2</v>
      </c>
      <c r="G153" s="8">
        <v>2</v>
      </c>
      <c r="H153" s="8">
        <v>2</v>
      </c>
      <c r="I153" s="8">
        <v>2</v>
      </c>
      <c r="J153" s="8">
        <v>1</v>
      </c>
      <c r="K153" s="8">
        <v>2</v>
      </c>
      <c r="L153" s="8">
        <v>1</v>
      </c>
      <c r="M153" s="8">
        <v>2</v>
      </c>
      <c r="N153" s="8" t="s">
        <v>607</v>
      </c>
      <c r="O153" s="8">
        <v>2</v>
      </c>
      <c r="P153" s="8">
        <v>2</v>
      </c>
      <c r="Q153" s="8">
        <v>2</v>
      </c>
      <c r="R153" s="8">
        <v>2</v>
      </c>
      <c r="S153" s="8">
        <v>2</v>
      </c>
      <c r="T153" s="8">
        <v>2</v>
      </c>
      <c r="U153" s="8">
        <v>2</v>
      </c>
      <c r="V153" s="8">
        <v>1</v>
      </c>
      <c r="W153" s="8">
        <v>2</v>
      </c>
      <c r="X153" s="8">
        <v>2</v>
      </c>
      <c r="Y153" s="8" t="s"/>
      <c r="Z153" s="5" t="s"/>
    </row>
    <row r="154" spans="1:26">
      <c r="A154" s="9" t="str">
        <f>=样本清单!A154</f>
        <v>M6_P2_09</v>
      </c>
      <c r="B154" s="9" t="str">
        <f>=样本清单!B154</f>
        <v>M6</v>
      </c>
      <c r="C154" s="9" t="str">
        <f>=样本清单!C154</f>
        <v>HunyuanImage-3.0</v>
      </c>
      <c r="D154" s="9" t="str">
        <f>=样本清单!D154</f>
        <v>P2</v>
      </c>
      <c r="E154" s="9">
        <f>=样本清单!F154</f>
        <v>9</v>
      </c>
      <c r="F154" s="8">
        <v>1</v>
      </c>
      <c r="G154" s="8">
        <v>2</v>
      </c>
      <c r="H154" s="8">
        <v>2</v>
      </c>
      <c r="I154" s="8">
        <v>2</v>
      </c>
      <c r="J154" s="8">
        <v>2</v>
      </c>
      <c r="K154" s="8">
        <v>2</v>
      </c>
      <c r="L154" s="8">
        <v>1</v>
      </c>
      <c r="M154" s="8">
        <v>2</v>
      </c>
      <c r="N154" s="8" t="s">
        <v>607</v>
      </c>
      <c r="O154" s="8">
        <v>1</v>
      </c>
      <c r="P154" s="8">
        <v>2</v>
      </c>
      <c r="Q154" s="8">
        <v>1</v>
      </c>
      <c r="R154" s="8">
        <v>1</v>
      </c>
      <c r="S154" s="8">
        <v>2</v>
      </c>
      <c r="T154" s="8">
        <v>2</v>
      </c>
      <c r="U154" s="8">
        <v>1</v>
      </c>
      <c r="V154" s="8">
        <v>1</v>
      </c>
      <c r="W154" s="8">
        <v>1</v>
      </c>
      <c r="X154" s="8">
        <v>2</v>
      </c>
      <c r="Y154" s="8" t="s"/>
      <c r="Z154" s="5" t="s"/>
    </row>
    <row r="155" spans="1:26">
      <c r="A155" s="9" t="str">
        <f>=样本清单!A155</f>
        <v>M6_P3_01</v>
      </c>
      <c r="B155" s="9" t="str">
        <f>=样本清单!B155</f>
        <v>M6</v>
      </c>
      <c r="C155" s="9" t="str">
        <f>=样本清单!C155</f>
        <v>HunyuanImage-3.0</v>
      </c>
      <c r="D155" s="9" t="str">
        <f>=样本清单!D155</f>
        <v>P3</v>
      </c>
      <c r="E155" s="9">
        <f>=样本清单!F155</f>
        <v>1</v>
      </c>
      <c r="F155" s="8">
        <v>2</v>
      </c>
      <c r="G155" s="8">
        <v>2</v>
      </c>
      <c r="H155" s="8">
        <v>2</v>
      </c>
      <c r="I155" s="8">
        <v>2</v>
      </c>
      <c r="J155" s="8">
        <v>1</v>
      </c>
      <c r="K155" s="8">
        <v>1</v>
      </c>
      <c r="L155" s="8">
        <v>2</v>
      </c>
      <c r="M155" s="8">
        <v>2</v>
      </c>
      <c r="N155" s="8">
        <v>2</v>
      </c>
      <c r="O155" s="8">
        <v>2</v>
      </c>
      <c r="P155" s="8">
        <v>2</v>
      </c>
      <c r="Q155" s="8">
        <v>2</v>
      </c>
      <c r="R155" s="8">
        <v>2</v>
      </c>
      <c r="S155" s="8">
        <v>2</v>
      </c>
      <c r="T155" s="8">
        <v>2</v>
      </c>
      <c r="U155" s="8">
        <v>2</v>
      </c>
      <c r="V155" s="8">
        <v>2</v>
      </c>
      <c r="W155" s="8">
        <v>2</v>
      </c>
      <c r="X155" s="8">
        <v>2</v>
      </c>
      <c r="Y155" s="8" t="s"/>
      <c r="Z155" s="5" t="s"/>
    </row>
    <row r="156" spans="1:26">
      <c r="A156" s="9" t="str">
        <f>=样本清单!A156</f>
        <v>M6_P3_02</v>
      </c>
      <c r="B156" s="9" t="str">
        <f>=样本清单!B156</f>
        <v>M6</v>
      </c>
      <c r="C156" s="9" t="str">
        <f>=样本清单!C156</f>
        <v>HunyuanImage-3.0</v>
      </c>
      <c r="D156" s="9" t="str">
        <f>=样本清单!D156</f>
        <v>P3</v>
      </c>
      <c r="E156" s="9">
        <f>=样本清单!F156</f>
        <v>2</v>
      </c>
      <c r="F156" s="8">
        <v>2</v>
      </c>
      <c r="G156" s="8">
        <v>2</v>
      </c>
      <c r="H156" s="8">
        <v>2</v>
      </c>
      <c r="I156" s="8">
        <v>2</v>
      </c>
      <c r="J156" s="8">
        <v>1</v>
      </c>
      <c r="K156" s="8">
        <v>2</v>
      </c>
      <c r="L156" s="8">
        <v>2</v>
      </c>
      <c r="M156" s="8">
        <v>2</v>
      </c>
      <c r="N156" s="8">
        <v>2</v>
      </c>
      <c r="O156" s="8">
        <v>2</v>
      </c>
      <c r="P156" s="8">
        <v>2</v>
      </c>
      <c r="Q156" s="8">
        <v>2</v>
      </c>
      <c r="R156" s="8">
        <v>2</v>
      </c>
      <c r="S156" s="8">
        <v>2</v>
      </c>
      <c r="T156" s="8">
        <v>2</v>
      </c>
      <c r="U156" s="8">
        <v>1</v>
      </c>
      <c r="V156" s="8">
        <v>2</v>
      </c>
      <c r="W156" s="8">
        <v>2</v>
      </c>
      <c r="X156" s="8">
        <v>2</v>
      </c>
      <c r="Y156" s="8" t="s"/>
      <c r="Z156" s="5" t="s"/>
    </row>
    <row r="157" spans="1:26">
      <c r="A157" s="9" t="str">
        <f>=样本清单!A157</f>
        <v>M6_P3_03</v>
      </c>
      <c r="B157" s="9" t="str">
        <f>=样本清单!B157</f>
        <v>M6</v>
      </c>
      <c r="C157" s="9" t="str">
        <f>=样本清单!C157</f>
        <v>HunyuanImage-3.0</v>
      </c>
      <c r="D157" s="9" t="str">
        <f>=样本清单!D157</f>
        <v>P3</v>
      </c>
      <c r="E157" s="9">
        <f>=样本清单!F157</f>
        <v>3</v>
      </c>
      <c r="F157" s="8">
        <v>1</v>
      </c>
      <c r="G157" s="8">
        <v>1</v>
      </c>
      <c r="H157" s="8">
        <v>2</v>
      </c>
      <c r="I157" s="8">
        <v>1</v>
      </c>
      <c r="J157" s="8">
        <v>1</v>
      </c>
      <c r="K157" s="8">
        <v>2</v>
      </c>
      <c r="L157" s="8">
        <v>2</v>
      </c>
      <c r="M157" s="8">
        <v>2</v>
      </c>
      <c r="N157" s="8">
        <v>1</v>
      </c>
      <c r="O157" s="8">
        <v>2</v>
      </c>
      <c r="P157" s="8">
        <v>2</v>
      </c>
      <c r="Q157" s="8">
        <v>2</v>
      </c>
      <c r="R157" s="8">
        <v>2</v>
      </c>
      <c r="S157" s="8">
        <v>2</v>
      </c>
      <c r="T157" s="8">
        <v>1</v>
      </c>
      <c r="U157" s="8">
        <v>1</v>
      </c>
      <c r="V157" s="8">
        <v>1</v>
      </c>
      <c r="W157" s="8">
        <v>2</v>
      </c>
      <c r="X157" s="8">
        <v>2</v>
      </c>
      <c r="Y157" s="8" t="s"/>
      <c r="Z157" s="5" t="s"/>
    </row>
    <row r="158" spans="1:26">
      <c r="A158" s="9" t="str">
        <f>=样本清单!A158</f>
        <v>M6_P3_04</v>
      </c>
      <c r="B158" s="9" t="str">
        <f>=样本清单!B158</f>
        <v>M6</v>
      </c>
      <c r="C158" s="9" t="str">
        <f>=样本清单!C158</f>
        <v>HunyuanImage-3.0</v>
      </c>
      <c r="D158" s="9" t="str">
        <f>=样本清单!D158</f>
        <v>P3</v>
      </c>
      <c r="E158" s="9">
        <f>=样本清单!F158</f>
        <v>4</v>
      </c>
      <c r="F158" s="8">
        <v>2</v>
      </c>
      <c r="G158" s="8">
        <v>2</v>
      </c>
      <c r="H158" s="8">
        <v>2</v>
      </c>
      <c r="I158" s="8">
        <v>2</v>
      </c>
      <c r="J158" s="8">
        <v>2</v>
      </c>
      <c r="K158" s="8">
        <v>2</v>
      </c>
      <c r="L158" s="8">
        <v>2</v>
      </c>
      <c r="M158" s="8">
        <v>2</v>
      </c>
      <c r="N158" s="8">
        <v>2</v>
      </c>
      <c r="O158" s="8">
        <v>1</v>
      </c>
      <c r="P158" s="8">
        <v>2</v>
      </c>
      <c r="Q158" s="8">
        <v>2</v>
      </c>
      <c r="R158" s="8">
        <v>2</v>
      </c>
      <c r="S158" s="8">
        <v>2</v>
      </c>
      <c r="T158" s="8">
        <v>2</v>
      </c>
      <c r="U158" s="8">
        <v>2</v>
      </c>
      <c r="V158" s="8">
        <v>2</v>
      </c>
      <c r="W158" s="8">
        <v>2</v>
      </c>
      <c r="X158" s="8">
        <v>2</v>
      </c>
      <c r="Y158" s="8" t="s"/>
      <c r="Z158" s="5" t="s"/>
    </row>
    <row r="159" spans="1:26">
      <c r="A159" s="9" t="str">
        <f>=样本清单!A159</f>
        <v>M6_P3_05</v>
      </c>
      <c r="B159" s="9" t="str">
        <f>=样本清单!B159</f>
        <v>M6</v>
      </c>
      <c r="C159" s="9" t="str">
        <f>=样本清单!C159</f>
        <v>HunyuanImage-3.0</v>
      </c>
      <c r="D159" s="9" t="str">
        <f>=样本清单!D159</f>
        <v>P3</v>
      </c>
      <c r="E159" s="9">
        <f>=样本清单!F159</f>
        <v>5</v>
      </c>
      <c r="F159" s="8">
        <v>2</v>
      </c>
      <c r="G159" s="8">
        <v>2</v>
      </c>
      <c r="H159" s="8">
        <v>2</v>
      </c>
      <c r="I159" s="8">
        <v>2</v>
      </c>
      <c r="J159" s="8">
        <v>1</v>
      </c>
      <c r="K159" s="8">
        <v>2</v>
      </c>
      <c r="L159" s="8">
        <v>2</v>
      </c>
      <c r="M159" s="8">
        <v>2</v>
      </c>
      <c r="N159" s="8">
        <v>2</v>
      </c>
      <c r="O159" s="8">
        <v>2</v>
      </c>
      <c r="P159" s="8">
        <v>2</v>
      </c>
      <c r="Q159" s="8">
        <v>2</v>
      </c>
      <c r="R159" s="8">
        <v>2</v>
      </c>
      <c r="S159" s="8">
        <v>2</v>
      </c>
      <c r="T159" s="8">
        <v>2</v>
      </c>
      <c r="U159" s="8">
        <v>2</v>
      </c>
      <c r="V159" s="8">
        <v>2</v>
      </c>
      <c r="W159" s="8">
        <v>2</v>
      </c>
      <c r="X159" s="8">
        <v>2</v>
      </c>
      <c r="Y159" s="8" t="s"/>
      <c r="Z159" s="5" t="s"/>
    </row>
    <row r="160" spans="1:26">
      <c r="A160" s="9" t="str">
        <f>=样本清单!A160</f>
        <v>M6_P3_06</v>
      </c>
      <c r="B160" s="9" t="str">
        <f>=样本清单!B160</f>
        <v>M6</v>
      </c>
      <c r="C160" s="9" t="str">
        <f>=样本清单!C160</f>
        <v>HunyuanImage-3.0</v>
      </c>
      <c r="D160" s="9" t="str">
        <f>=样本清单!D160</f>
        <v>P3</v>
      </c>
      <c r="E160" s="9">
        <f>=样本清单!F160</f>
        <v>6</v>
      </c>
      <c r="F160" s="8">
        <v>2</v>
      </c>
      <c r="G160" s="8">
        <v>2</v>
      </c>
      <c r="H160" s="8">
        <v>2</v>
      </c>
      <c r="I160" s="8">
        <v>2</v>
      </c>
      <c r="J160" s="8">
        <v>1</v>
      </c>
      <c r="K160" s="8">
        <v>2</v>
      </c>
      <c r="L160" s="8">
        <v>2</v>
      </c>
      <c r="M160" s="8">
        <v>2</v>
      </c>
      <c r="N160" s="8">
        <v>2</v>
      </c>
      <c r="O160" s="8">
        <v>2</v>
      </c>
      <c r="P160" s="8">
        <v>2</v>
      </c>
      <c r="Q160" s="8">
        <v>2</v>
      </c>
      <c r="R160" s="8">
        <v>2</v>
      </c>
      <c r="S160" s="8">
        <v>2</v>
      </c>
      <c r="T160" s="8">
        <v>2</v>
      </c>
      <c r="U160" s="8">
        <v>2</v>
      </c>
      <c r="V160" s="8">
        <v>2</v>
      </c>
      <c r="W160" s="8">
        <v>2</v>
      </c>
      <c r="X160" s="8">
        <v>2</v>
      </c>
      <c r="Y160" s="8" t="s"/>
      <c r="Z160" s="5" t="s"/>
    </row>
    <row r="161" spans="1:26">
      <c r="A161" s="9" t="str">
        <f>=样本清单!A161</f>
        <v>M6_P3_07</v>
      </c>
      <c r="B161" s="9" t="str">
        <f>=样本清单!B161</f>
        <v>M6</v>
      </c>
      <c r="C161" s="9" t="str">
        <f>=样本清单!C161</f>
        <v>HunyuanImage-3.0</v>
      </c>
      <c r="D161" s="9" t="str">
        <f>=样本清单!D161</f>
        <v>P3</v>
      </c>
      <c r="E161" s="9">
        <f>=样本清单!F161</f>
        <v>7</v>
      </c>
      <c r="F161" s="8">
        <v>2</v>
      </c>
      <c r="G161" s="8">
        <v>2</v>
      </c>
      <c r="H161" s="8">
        <v>2</v>
      </c>
      <c r="I161" s="8">
        <v>2</v>
      </c>
      <c r="J161" s="8">
        <v>2</v>
      </c>
      <c r="K161" s="8">
        <v>2</v>
      </c>
      <c r="L161" s="8">
        <v>2</v>
      </c>
      <c r="M161" s="8">
        <v>2</v>
      </c>
      <c r="N161" s="8">
        <v>1</v>
      </c>
      <c r="O161" s="8">
        <v>2</v>
      </c>
      <c r="P161" s="8">
        <v>2</v>
      </c>
      <c r="Q161" s="8">
        <v>2</v>
      </c>
      <c r="R161" s="8">
        <v>2</v>
      </c>
      <c r="S161" s="8">
        <v>2</v>
      </c>
      <c r="T161" s="8">
        <v>2</v>
      </c>
      <c r="U161" s="8">
        <v>2</v>
      </c>
      <c r="V161" s="8">
        <v>2</v>
      </c>
      <c r="W161" s="8">
        <v>2</v>
      </c>
      <c r="X161" s="8">
        <v>2</v>
      </c>
      <c r="Y161" s="8" t="s"/>
      <c r="Z161" s="5" t="s"/>
    </row>
    <row r="162" spans="1:26">
      <c r="A162" s="9" t="str">
        <f>=样本清单!A162</f>
        <v>M6_P3_08</v>
      </c>
      <c r="B162" s="9" t="str">
        <f>=样本清单!B162</f>
        <v>M6</v>
      </c>
      <c r="C162" s="9" t="str">
        <f>=样本清单!C162</f>
        <v>HunyuanImage-3.0</v>
      </c>
      <c r="D162" s="9" t="str">
        <f>=样本清单!D162</f>
        <v>P3</v>
      </c>
      <c r="E162" s="9">
        <f>=样本清单!F162</f>
        <v>8</v>
      </c>
      <c r="F162" s="8">
        <v>2</v>
      </c>
      <c r="G162" s="8">
        <v>2</v>
      </c>
      <c r="H162" s="8">
        <v>2</v>
      </c>
      <c r="I162" s="8">
        <v>2</v>
      </c>
      <c r="J162" s="8">
        <v>2</v>
      </c>
      <c r="K162" s="8">
        <v>2</v>
      </c>
      <c r="L162" s="8">
        <v>2</v>
      </c>
      <c r="M162" s="8">
        <v>2</v>
      </c>
      <c r="N162" s="8">
        <v>2</v>
      </c>
      <c r="O162" s="8">
        <v>2</v>
      </c>
      <c r="P162" s="8">
        <v>2</v>
      </c>
      <c r="Q162" s="8">
        <v>2</v>
      </c>
      <c r="R162" s="8">
        <v>2</v>
      </c>
      <c r="S162" s="8">
        <v>1</v>
      </c>
      <c r="T162" s="8">
        <v>2</v>
      </c>
      <c r="U162" s="8">
        <v>2</v>
      </c>
      <c r="V162" s="8">
        <v>2</v>
      </c>
      <c r="W162" s="8">
        <v>2</v>
      </c>
      <c r="X162" s="8">
        <v>2</v>
      </c>
      <c r="Y162" s="8" t="s"/>
      <c r="Z162" s="5" t="s"/>
    </row>
    <row r="163" spans="1:26">
      <c r="A163" s="9" t="str">
        <f>=样本清单!A163</f>
        <v>M6_P3_09</v>
      </c>
      <c r="B163" s="9" t="str">
        <f>=样本清单!B163</f>
        <v>M6</v>
      </c>
      <c r="C163" s="9" t="str">
        <f>=样本清单!C163</f>
        <v>HunyuanImage-3.0</v>
      </c>
      <c r="D163" s="9" t="str">
        <f>=样本清单!D163</f>
        <v>P3</v>
      </c>
      <c r="E163" s="9">
        <f>=样本清单!F163</f>
        <v>9</v>
      </c>
      <c r="F163" s="8">
        <v>2</v>
      </c>
      <c r="G163" s="8">
        <v>1</v>
      </c>
      <c r="H163" s="8">
        <v>2</v>
      </c>
      <c r="I163" s="8">
        <v>2</v>
      </c>
      <c r="J163" s="8">
        <v>1</v>
      </c>
      <c r="K163" s="8">
        <v>2</v>
      </c>
      <c r="L163" s="8">
        <v>1</v>
      </c>
      <c r="M163" s="8">
        <v>2</v>
      </c>
      <c r="N163" s="8">
        <v>1</v>
      </c>
      <c r="O163" s="8">
        <v>2</v>
      </c>
      <c r="P163" s="8">
        <v>2</v>
      </c>
      <c r="Q163" s="8">
        <v>2</v>
      </c>
      <c r="R163" s="8">
        <v>2</v>
      </c>
      <c r="S163" s="8">
        <v>2</v>
      </c>
      <c r="T163" s="8">
        <v>2</v>
      </c>
      <c r="U163" s="8">
        <v>1</v>
      </c>
      <c r="V163" s="8">
        <v>2</v>
      </c>
      <c r="W163" s="8">
        <v>2</v>
      </c>
      <c r="X163" s="8">
        <v>2</v>
      </c>
      <c r="Y163" s="8" t="s"/>
      <c r="Z163" s="5" t="s"/>
    </row>
  </sheetData>
  <dataValidations>
    <dataValidation type="list" operator="between" allowBlank="0" showDropDown="0" showInputMessage="0" showErrorMessage="0" sqref="F2:F180">
      <formula1>"0,1,2"</formula1>
    </dataValidation>
    <dataValidation type="list" operator="between" allowBlank="0" showDropDown="0" showInputMessage="0" showErrorMessage="0" sqref="G2:G180">
      <formula1>"0,1,2,NA"</formula1>
    </dataValidation>
    <dataValidation type="list" operator="between" allowBlank="0" showDropDown="0" showInputMessage="0" showErrorMessage="0" sqref="H2:H180">
      <formula1>"0,1,2,NA"</formula1>
    </dataValidation>
    <dataValidation type="list" operator="between" allowBlank="0" showDropDown="0" showInputMessage="0" showErrorMessage="0" sqref="I2:I180">
      <formula1>"0,1,2,NA"</formula1>
    </dataValidation>
    <dataValidation type="list" operator="between" allowBlank="0" showDropDown="0" showInputMessage="0" showErrorMessage="0" sqref="J2:J180">
      <formula1>"0,1,2,NA"</formula1>
    </dataValidation>
    <dataValidation type="list" operator="between" allowBlank="0" showDropDown="0" showInputMessage="0" showErrorMessage="0" sqref="K2:K180">
      <formula1>"0,1,2,NA"</formula1>
    </dataValidation>
    <dataValidation type="list" operator="between" allowBlank="0" showDropDown="0" showInputMessage="0" showErrorMessage="0" sqref="L2:L180">
      <formula1>"0,1,2,NA"</formula1>
    </dataValidation>
    <dataValidation type="list" operator="between" allowBlank="0" showDropDown="0" showInputMessage="0" showErrorMessage="0" sqref="M2:M180">
      <formula1>"0,1,2,NA"</formula1>
    </dataValidation>
    <dataValidation type="list" operator="between" allowBlank="0" showDropDown="0" showInputMessage="0" showErrorMessage="0" sqref="N2:N180">
      <formula1>"0,1,2,NA"</formula1>
    </dataValidation>
    <dataValidation type="list" operator="between" allowBlank="0" showDropDown="0" showInputMessage="0" showErrorMessage="0" sqref="O2:O180">
      <formula1>"0,1,2,NA"</formula1>
    </dataValidation>
    <dataValidation type="list" operator="between" allowBlank="0" showDropDown="0" showInputMessage="0" showErrorMessage="0" sqref="P2:P180">
      <formula1>"0,1,2,NA"</formula1>
    </dataValidation>
    <dataValidation type="list" operator="between" allowBlank="0" showDropDown="0" showInputMessage="0" showErrorMessage="0" sqref="Q2:Q180">
      <formula1>"0,1,2,NA"</formula1>
    </dataValidation>
    <dataValidation type="list" operator="between" allowBlank="0" showDropDown="0" showInputMessage="0" showErrorMessage="0" sqref="R2:R180">
      <formula1>"0,1,2,NA"</formula1>
    </dataValidation>
    <dataValidation type="list" operator="between" allowBlank="0" showDropDown="0" showInputMessage="0" showErrorMessage="0" sqref="S2:S180">
      <formula1>"0,1,2,NA"</formula1>
    </dataValidation>
    <dataValidation type="list" operator="between" allowBlank="0" showDropDown="0" showInputMessage="0" showErrorMessage="0" sqref="T2:T180">
      <formula1>"0,1,2,NA"</formula1>
    </dataValidation>
    <dataValidation type="list" operator="between" allowBlank="0" showDropDown="0" showInputMessage="0" showErrorMessage="0" sqref="U2:U180">
      <formula1>"0,1,2,NA"</formula1>
    </dataValidation>
    <dataValidation type="list" operator="between" allowBlank="0" showDropDown="0" showInputMessage="0" showErrorMessage="0" sqref="V2:V180">
      <formula1>"0,1,2,NA"</formula1>
    </dataValidation>
    <dataValidation type="list" operator="between" allowBlank="0" showDropDown="0" showInputMessage="0" showErrorMessage="0" sqref="W2:W180">
      <formula1>"0,1,2,NA"</formula1>
    </dataValidation>
    <dataValidation type="list" operator="between" allowBlank="0" showDropDown="0" showInputMessage="0" showErrorMessage="0" sqref="X2:X180">
      <formula1>"0,1,2,NA"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Z163"/>
  <sheetViews>
    <sheetView showGridLines="1" workbookViewId="0">
      <pane ySplit="1" topLeftCell="A2" activePane="bottomLeft" state="frozen"/>
    </sheetView>
  </sheetViews>
  <sheetFormatPr baseColWidth="8" defaultRowHeight="13.8"/>
  <cols>
    <col min="1" max="1" width="16" customWidth="1"/>
    <col min="2" max="2" width="10" customWidth="1"/>
    <col min="3" max="3" width="26" customWidth="1"/>
    <col min="4" max="5" width="10" customWidth="1"/>
    <col min="6" max="6" width="8.09766" customWidth="1"/>
    <col min="7" max="24" width="7" customWidth="1"/>
    <col min="25" max="25" width="24" customWidth="1"/>
  </cols>
  <sheetData>
    <row r="1" spans="1:26">
      <c r="A1" s="7" t="s">
        <v>267</v>
      </c>
      <c r="B1" s="7" t="s">
        <v>190</v>
      </c>
      <c r="C1" s="7" t="s">
        <v>191</v>
      </c>
      <c r="D1" s="7" t="s">
        <v>268</v>
      </c>
      <c r="E1" s="7" t="s">
        <v>270</v>
      </c>
      <c r="F1" s="7" t="s">
        <v>235</v>
      </c>
      <c r="G1" s="7" t="s">
        <v>221</v>
      </c>
      <c r="H1" s="7" t="s">
        <v>225</v>
      </c>
      <c r="I1" s="7" t="s">
        <v>229</v>
      </c>
      <c r="J1" s="7" t="s">
        <v>233</v>
      </c>
      <c r="K1" s="7" t="s">
        <v>237</v>
      </c>
      <c r="L1" s="7" t="s">
        <v>241</v>
      </c>
      <c r="M1" s="7" t="s">
        <v>243</v>
      </c>
      <c r="N1" s="7" t="s">
        <v>245</v>
      </c>
      <c r="O1" s="7" t="s">
        <v>247</v>
      </c>
      <c r="P1" s="7" t="s">
        <v>249</v>
      </c>
      <c r="Q1" s="7" t="s">
        <v>251</v>
      </c>
      <c r="R1" s="7" t="s">
        <v>253</v>
      </c>
      <c r="S1" s="7" t="s">
        <v>255</v>
      </c>
      <c r="T1" s="7" t="s">
        <v>257</v>
      </c>
      <c r="U1" s="7" t="s">
        <v>259</v>
      </c>
      <c r="V1" s="7" t="s">
        <v>261</v>
      </c>
      <c r="W1" s="7" t="s">
        <v>263</v>
      </c>
      <c r="X1" s="7" t="s">
        <v>265</v>
      </c>
      <c r="Y1" s="7" t="s">
        <v>606</v>
      </c>
      <c r="Z1" s="5" t="s"/>
    </row>
    <row r="2" spans="1:26">
      <c r="A2" s="9" t="str">
        <f>=样本清单!A2</f>
        <v>M1_P1_01</v>
      </c>
      <c r="B2" s="9" t="str">
        <f>=样本清单!B2</f>
        <v>M1</v>
      </c>
      <c r="C2" s="9" t="str">
        <f>=样本清单!C2</f>
        <v>ChatGPT Images 2.0</v>
      </c>
      <c r="D2" s="9" t="str">
        <f>=样本清单!D2</f>
        <v>P1</v>
      </c>
      <c r="E2" s="9">
        <f>=样本清单!F2</f>
        <v>1</v>
      </c>
      <c r="F2" s="8">
        <v>1</v>
      </c>
      <c r="G2" s="8">
        <v>1</v>
      </c>
      <c r="H2" s="8">
        <v>1</v>
      </c>
      <c r="I2" s="8">
        <v>0</v>
      </c>
      <c r="J2" s="8">
        <v>2</v>
      </c>
      <c r="K2" s="8">
        <v>0</v>
      </c>
      <c r="L2" s="8">
        <v>0</v>
      </c>
      <c r="M2" s="8">
        <v>2</v>
      </c>
      <c r="N2" s="8" t="s">
        <v>607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1</v>
      </c>
      <c r="U2" s="8">
        <v>1</v>
      </c>
      <c r="V2" s="8">
        <v>1</v>
      </c>
      <c r="W2" s="8">
        <v>2</v>
      </c>
      <c r="X2" s="8">
        <v>0</v>
      </c>
      <c r="Y2" s="8" t="s"/>
      <c r="Z2" s="5" t="s"/>
    </row>
    <row r="3" spans="1:26">
      <c r="A3" s="9" t="str">
        <f>=样本清单!A3</f>
        <v>M1_P1_02</v>
      </c>
      <c r="B3" s="9" t="str">
        <f>=样本清单!B3</f>
        <v>M1</v>
      </c>
      <c r="C3" s="9" t="str">
        <f>=样本清单!C3</f>
        <v>ChatGPT Images 2.0</v>
      </c>
      <c r="D3" s="9" t="str">
        <f>=样本清单!D3</f>
        <v>P1</v>
      </c>
      <c r="E3" s="9">
        <f>=样本清单!F3</f>
        <v>2</v>
      </c>
      <c r="F3" s="8">
        <v>0</v>
      </c>
      <c r="G3" s="8">
        <v>1</v>
      </c>
      <c r="H3" s="8">
        <v>1</v>
      </c>
      <c r="I3" s="8">
        <v>0</v>
      </c>
      <c r="J3" s="8">
        <v>1</v>
      </c>
      <c r="K3" s="8">
        <v>0</v>
      </c>
      <c r="L3" s="8">
        <v>1</v>
      </c>
      <c r="M3" s="8">
        <v>2</v>
      </c>
      <c r="N3" s="8" t="s">
        <v>607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8">
        <v>1</v>
      </c>
      <c r="U3" s="8">
        <v>2</v>
      </c>
      <c r="V3" s="8">
        <v>1</v>
      </c>
      <c r="W3" s="8">
        <v>2</v>
      </c>
      <c r="X3" s="8">
        <v>1</v>
      </c>
      <c r="Y3" s="8" t="s"/>
      <c r="Z3" s="5" t="s"/>
    </row>
    <row r="4" spans="1:26">
      <c r="A4" s="9" t="str">
        <f>=样本清单!A4</f>
        <v>M1_P1_03</v>
      </c>
      <c r="B4" s="9" t="str">
        <f>=样本清单!B4</f>
        <v>M1</v>
      </c>
      <c r="C4" s="9" t="str">
        <f>=样本清单!C4</f>
        <v>ChatGPT Images 2.0</v>
      </c>
      <c r="D4" s="9" t="str">
        <f>=样本清单!D4</f>
        <v>P1</v>
      </c>
      <c r="E4" s="9">
        <f>=样本清单!F4</f>
        <v>3</v>
      </c>
      <c r="F4" s="8">
        <v>0</v>
      </c>
      <c r="G4" s="8">
        <v>0</v>
      </c>
      <c r="H4" s="8">
        <v>1</v>
      </c>
      <c r="I4" s="8">
        <v>0</v>
      </c>
      <c r="J4" s="8">
        <v>2</v>
      </c>
      <c r="K4" s="8">
        <v>0</v>
      </c>
      <c r="L4" s="8">
        <v>1</v>
      </c>
      <c r="M4" s="8">
        <v>2</v>
      </c>
      <c r="N4" s="8" t="s">
        <v>607</v>
      </c>
      <c r="O4" s="8">
        <v>1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8">
        <v>0</v>
      </c>
      <c r="V4" s="8">
        <v>1</v>
      </c>
      <c r="W4" s="8">
        <v>1</v>
      </c>
      <c r="X4" s="8">
        <v>0</v>
      </c>
      <c r="Y4" s="8" t="s"/>
      <c r="Z4" s="5" t="s"/>
    </row>
    <row r="5" spans="1:26">
      <c r="A5" s="9" t="str">
        <f>=样本清单!A5</f>
        <v>M1_P1_04</v>
      </c>
      <c r="B5" s="9" t="str">
        <f>=样本清单!B5</f>
        <v>M1</v>
      </c>
      <c r="C5" s="9" t="str">
        <f>=样本清单!C5</f>
        <v>ChatGPT Images 2.0</v>
      </c>
      <c r="D5" s="9" t="str">
        <f>=样本清单!D5</f>
        <v>P1</v>
      </c>
      <c r="E5" s="9">
        <f>=样本清单!F5</f>
        <v>4</v>
      </c>
      <c r="F5" s="8">
        <v>0</v>
      </c>
      <c r="G5" s="8">
        <v>1</v>
      </c>
      <c r="H5" s="8">
        <v>1</v>
      </c>
      <c r="I5" s="8">
        <v>0</v>
      </c>
      <c r="J5" s="8">
        <v>2</v>
      </c>
      <c r="K5" s="8">
        <v>0</v>
      </c>
      <c r="L5" s="8">
        <v>2</v>
      </c>
      <c r="M5" s="8">
        <v>2</v>
      </c>
      <c r="N5" s="8" t="s">
        <v>607</v>
      </c>
      <c r="O5" s="8">
        <v>1</v>
      </c>
      <c r="P5" s="8">
        <v>0</v>
      </c>
      <c r="Q5" s="8">
        <v>0</v>
      </c>
      <c r="R5" s="8">
        <v>0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0</v>
      </c>
      <c r="Y5" s="8" t="s"/>
      <c r="Z5" s="5" t="s"/>
    </row>
    <row r="6" spans="1:26">
      <c r="A6" s="9" t="str">
        <f>=样本清单!A6</f>
        <v>M1_P1_05</v>
      </c>
      <c r="B6" s="9" t="str">
        <f>=样本清单!B6</f>
        <v>M1</v>
      </c>
      <c r="C6" s="9" t="str">
        <f>=样本清单!C6</f>
        <v>ChatGPT Images 2.0</v>
      </c>
      <c r="D6" s="9" t="str">
        <f>=样本清单!D6</f>
        <v>P1</v>
      </c>
      <c r="E6" s="9">
        <f>=样本清单!F6</f>
        <v>5</v>
      </c>
      <c r="F6" s="8">
        <v>1</v>
      </c>
      <c r="G6" s="8">
        <v>1</v>
      </c>
      <c r="H6" s="8">
        <v>1</v>
      </c>
      <c r="I6" s="8">
        <v>0</v>
      </c>
      <c r="J6" s="8">
        <v>2</v>
      </c>
      <c r="K6" s="8">
        <v>0</v>
      </c>
      <c r="L6" s="8">
        <v>0</v>
      </c>
      <c r="M6" s="8">
        <v>2</v>
      </c>
      <c r="N6" s="8">
        <v>0</v>
      </c>
      <c r="O6" s="8">
        <v>2</v>
      </c>
      <c r="P6" s="8">
        <v>0</v>
      </c>
      <c r="Q6" s="8">
        <v>0</v>
      </c>
      <c r="R6" s="8">
        <v>0</v>
      </c>
      <c r="S6" s="8">
        <v>2</v>
      </c>
      <c r="T6" s="8">
        <v>2</v>
      </c>
      <c r="U6" s="8">
        <v>1</v>
      </c>
      <c r="V6" s="8">
        <v>1</v>
      </c>
      <c r="W6" s="8">
        <v>1</v>
      </c>
      <c r="X6" s="8">
        <v>1</v>
      </c>
      <c r="Y6" s="8" t="s"/>
      <c r="Z6" s="5" t="s"/>
    </row>
    <row r="7" spans="1:26">
      <c r="A7" s="9" t="str">
        <f>=样本清单!A7</f>
        <v>M1_P1_06</v>
      </c>
      <c r="B7" s="9" t="str">
        <f>=样本清单!B7</f>
        <v>M1</v>
      </c>
      <c r="C7" s="9" t="str">
        <f>=样本清单!C7</f>
        <v>ChatGPT Images 2.0</v>
      </c>
      <c r="D7" s="9" t="str">
        <f>=样本清单!D7</f>
        <v>P1</v>
      </c>
      <c r="E7" s="9">
        <f>=样本清单!F7</f>
        <v>6</v>
      </c>
      <c r="F7" s="8">
        <v>1</v>
      </c>
      <c r="G7" s="8">
        <v>1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2</v>
      </c>
      <c r="N7" s="8" t="s">
        <v>607</v>
      </c>
      <c r="O7" s="8">
        <v>0</v>
      </c>
      <c r="P7" s="8">
        <v>0</v>
      </c>
      <c r="Q7" s="8">
        <v>0</v>
      </c>
      <c r="R7" s="8">
        <v>0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0</v>
      </c>
      <c r="Y7" s="8" t="s"/>
      <c r="Z7" s="5" t="s"/>
    </row>
    <row r="8" spans="1:26">
      <c r="A8" s="9" t="str">
        <f>=样本清单!A8</f>
        <v>M1_P1_07</v>
      </c>
      <c r="B8" s="9" t="str">
        <f>=样本清单!B8</f>
        <v>M1</v>
      </c>
      <c r="C8" s="9" t="str">
        <f>=样本清单!C8</f>
        <v>ChatGPT Images 2.0</v>
      </c>
      <c r="D8" s="9" t="str">
        <f>=样本清单!D8</f>
        <v>P1</v>
      </c>
      <c r="E8" s="9">
        <f>=样本清单!F8</f>
        <v>7</v>
      </c>
      <c r="F8" s="8">
        <v>2</v>
      </c>
      <c r="G8" s="8">
        <v>2</v>
      </c>
      <c r="H8" s="8">
        <v>1</v>
      </c>
      <c r="I8" s="8">
        <v>1</v>
      </c>
      <c r="J8" s="8">
        <v>1</v>
      </c>
      <c r="K8" s="8">
        <v>0</v>
      </c>
      <c r="L8" s="8">
        <v>1</v>
      </c>
      <c r="M8" s="8">
        <v>2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2</v>
      </c>
      <c r="T8" s="8">
        <v>1</v>
      </c>
      <c r="U8" s="8">
        <v>1</v>
      </c>
      <c r="V8" s="8">
        <v>1</v>
      </c>
      <c r="W8" s="8">
        <v>2</v>
      </c>
      <c r="X8" s="8">
        <v>2</v>
      </c>
      <c r="Y8" s="8" t="s"/>
      <c r="Z8" s="5" t="s"/>
    </row>
    <row r="9" spans="1:26">
      <c r="A9" s="9" t="str">
        <f>=样本清单!A9</f>
        <v>M1_P1_08</v>
      </c>
      <c r="B9" s="9" t="str">
        <f>=样本清单!B9</f>
        <v>M1</v>
      </c>
      <c r="C9" s="9" t="str">
        <f>=样本清单!C9</f>
        <v>ChatGPT Images 2.0</v>
      </c>
      <c r="D9" s="9" t="str">
        <f>=样本清单!D9</f>
        <v>P1</v>
      </c>
      <c r="E9" s="9">
        <f>=样本清单!F9</f>
        <v>8</v>
      </c>
      <c r="F9" s="8">
        <v>1</v>
      </c>
      <c r="G9" s="8">
        <v>1</v>
      </c>
      <c r="H9" s="8">
        <v>1</v>
      </c>
      <c r="I9" s="8">
        <v>0</v>
      </c>
      <c r="J9" s="8">
        <v>2</v>
      </c>
      <c r="K9" s="8">
        <v>0</v>
      </c>
      <c r="L9" s="8">
        <v>2</v>
      </c>
      <c r="M9" s="8">
        <v>2</v>
      </c>
      <c r="N9" s="8">
        <v>2</v>
      </c>
      <c r="O9" s="8">
        <v>2</v>
      </c>
      <c r="P9" s="8">
        <v>0</v>
      </c>
      <c r="Q9" s="8">
        <v>0</v>
      </c>
      <c r="R9" s="8">
        <v>0</v>
      </c>
      <c r="S9" s="8">
        <v>2</v>
      </c>
      <c r="T9" s="8">
        <v>2</v>
      </c>
      <c r="U9" s="8">
        <v>1</v>
      </c>
      <c r="V9" s="8">
        <v>1</v>
      </c>
      <c r="W9" s="8">
        <v>2</v>
      </c>
      <c r="X9" s="8">
        <v>1</v>
      </c>
      <c r="Y9" s="8" t="s"/>
      <c r="Z9" s="5" t="s"/>
    </row>
    <row r="10" spans="1:26">
      <c r="A10" s="9" t="str">
        <f>=样本清单!A10</f>
        <v>M1_P1_09</v>
      </c>
      <c r="B10" s="9" t="str">
        <f>=样本清单!B10</f>
        <v>M1</v>
      </c>
      <c r="C10" s="9" t="str">
        <f>=样本清单!C10</f>
        <v>ChatGPT Images 2.0</v>
      </c>
      <c r="D10" s="9" t="str">
        <f>=样本清单!D10</f>
        <v>P1</v>
      </c>
      <c r="E10" s="9">
        <f>=样本清单!F10</f>
        <v>9</v>
      </c>
      <c r="F10" s="8">
        <v>1</v>
      </c>
      <c r="G10" s="8">
        <v>1</v>
      </c>
      <c r="H10" s="8">
        <v>1</v>
      </c>
      <c r="I10" s="8">
        <v>0</v>
      </c>
      <c r="J10" s="8">
        <v>1</v>
      </c>
      <c r="K10" s="8">
        <v>0</v>
      </c>
      <c r="L10" s="8">
        <v>0</v>
      </c>
      <c r="M10" s="8">
        <v>2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2</v>
      </c>
      <c r="T10" s="8">
        <v>1</v>
      </c>
      <c r="U10" s="8">
        <v>1</v>
      </c>
      <c r="V10" s="8">
        <v>1</v>
      </c>
      <c r="W10" s="8">
        <v>2</v>
      </c>
      <c r="X10" s="8">
        <v>1</v>
      </c>
      <c r="Y10" s="8" t="s"/>
      <c r="Z10" s="5" t="s"/>
    </row>
    <row r="11" spans="1:26">
      <c r="A11" s="9" t="str">
        <f>=样本清单!A11</f>
        <v>M1_P2_01</v>
      </c>
      <c r="B11" s="9" t="str">
        <f>=样本清单!B11</f>
        <v>M1</v>
      </c>
      <c r="C11" s="9" t="str">
        <f>=样本清单!C11</f>
        <v>ChatGPT Images 2.0</v>
      </c>
      <c r="D11" s="9" t="str">
        <f>=样本清单!D11</f>
        <v>P2</v>
      </c>
      <c r="E11" s="9">
        <f>=样本清单!F11</f>
        <v>1</v>
      </c>
      <c r="F11" s="8">
        <v>1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2</v>
      </c>
      <c r="M11" s="8">
        <v>2</v>
      </c>
      <c r="N11" s="8" t="s">
        <v>607</v>
      </c>
      <c r="O11" s="8">
        <v>2</v>
      </c>
      <c r="P11" s="8">
        <v>0</v>
      </c>
      <c r="Q11" s="8">
        <v>0</v>
      </c>
      <c r="R11" s="8">
        <v>0</v>
      </c>
      <c r="S11" s="8">
        <v>2</v>
      </c>
      <c r="T11" s="8">
        <v>2</v>
      </c>
      <c r="U11" s="8">
        <v>2</v>
      </c>
      <c r="V11" s="8">
        <v>1</v>
      </c>
      <c r="W11" s="8">
        <v>2</v>
      </c>
      <c r="X11" s="8">
        <v>1</v>
      </c>
      <c r="Y11" s="8" t="s"/>
      <c r="Z11" s="5" t="s"/>
    </row>
    <row r="12" spans="1:26">
      <c r="A12" s="9" t="str">
        <f>=样本清单!A12</f>
        <v>M1_P2_02</v>
      </c>
      <c r="B12" s="9" t="str">
        <f>=样本清单!B12</f>
        <v>M1</v>
      </c>
      <c r="C12" s="9" t="str">
        <f>=样本清单!C12</f>
        <v>ChatGPT Images 2.0</v>
      </c>
      <c r="D12" s="9" t="str">
        <f>=样本清单!D12</f>
        <v>P2</v>
      </c>
      <c r="E12" s="9">
        <f>=样本清单!F12</f>
        <v>2</v>
      </c>
      <c r="F12" s="8">
        <v>1</v>
      </c>
      <c r="G12" s="8">
        <v>0</v>
      </c>
      <c r="H12" s="8">
        <v>0</v>
      </c>
      <c r="I12" s="8">
        <v>1</v>
      </c>
      <c r="J12" s="8">
        <v>0</v>
      </c>
      <c r="K12" s="8">
        <v>2</v>
      </c>
      <c r="L12" s="8">
        <v>2</v>
      </c>
      <c r="M12" s="8">
        <v>2</v>
      </c>
      <c r="N12" s="8" t="s">
        <v>607</v>
      </c>
      <c r="O12" s="8">
        <v>2</v>
      </c>
      <c r="P12" s="8">
        <v>0</v>
      </c>
      <c r="Q12" s="8">
        <v>0</v>
      </c>
      <c r="R12" s="8">
        <v>0</v>
      </c>
      <c r="S12" s="8">
        <v>2</v>
      </c>
      <c r="T12" s="8">
        <v>2</v>
      </c>
      <c r="U12" s="8">
        <v>2</v>
      </c>
      <c r="V12" s="8">
        <v>2</v>
      </c>
      <c r="W12" s="8">
        <v>2</v>
      </c>
      <c r="X12" s="8">
        <v>2</v>
      </c>
      <c r="Y12" s="8" t="s"/>
      <c r="Z12" s="5" t="s"/>
    </row>
    <row r="13" spans="1:26">
      <c r="A13" s="9" t="str">
        <f>=样本清单!A13</f>
        <v>M1_P2_03</v>
      </c>
      <c r="B13" s="9" t="str">
        <f>=样本清单!B13</f>
        <v>M1</v>
      </c>
      <c r="C13" s="9" t="str">
        <f>=样本清单!C13</f>
        <v>ChatGPT Images 2.0</v>
      </c>
      <c r="D13" s="9" t="str">
        <f>=样本清单!D13</f>
        <v>P2</v>
      </c>
      <c r="E13" s="9">
        <f>=样本清单!F13</f>
        <v>3</v>
      </c>
      <c r="F13" s="8">
        <v>1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2</v>
      </c>
      <c r="M13" s="8">
        <v>2</v>
      </c>
      <c r="N13" s="8" t="s">
        <v>607</v>
      </c>
      <c r="O13" s="8">
        <v>2</v>
      </c>
      <c r="P13" s="8">
        <v>0</v>
      </c>
      <c r="Q13" s="8">
        <v>0</v>
      </c>
      <c r="R13" s="8">
        <v>0</v>
      </c>
      <c r="S13" s="8">
        <v>2</v>
      </c>
      <c r="T13" s="8">
        <v>1</v>
      </c>
      <c r="U13" s="8">
        <v>2</v>
      </c>
      <c r="V13" s="8">
        <v>1</v>
      </c>
      <c r="W13" s="8">
        <v>2</v>
      </c>
      <c r="X13" s="8">
        <v>2</v>
      </c>
      <c r="Y13" s="8" t="s"/>
      <c r="Z13" s="5" t="s"/>
    </row>
    <row r="14" spans="1:26">
      <c r="A14" s="9" t="str">
        <f>=样本清单!A14</f>
        <v>M1_P2_04</v>
      </c>
      <c r="B14" s="9" t="str">
        <f>=样本清单!B14</f>
        <v>M1</v>
      </c>
      <c r="C14" s="9" t="str">
        <f>=样本清单!C14</f>
        <v>ChatGPT Images 2.0</v>
      </c>
      <c r="D14" s="9" t="str">
        <f>=样本清单!D14</f>
        <v>P2</v>
      </c>
      <c r="E14" s="9">
        <f>=样本清单!F14</f>
        <v>4</v>
      </c>
      <c r="F14" s="8">
        <v>1</v>
      </c>
      <c r="G14" s="8">
        <v>2</v>
      </c>
      <c r="H14" s="8">
        <v>1</v>
      </c>
      <c r="I14" s="8">
        <v>1</v>
      </c>
      <c r="J14" s="8">
        <v>1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0</v>
      </c>
      <c r="Q14" s="8">
        <v>0</v>
      </c>
      <c r="R14" s="8">
        <v>0</v>
      </c>
      <c r="S14" s="8">
        <v>2</v>
      </c>
      <c r="T14" s="8">
        <v>1</v>
      </c>
      <c r="U14" s="8">
        <v>2</v>
      </c>
      <c r="V14" s="8">
        <v>2</v>
      </c>
      <c r="W14" s="8">
        <v>2</v>
      </c>
      <c r="X14" s="8">
        <v>1</v>
      </c>
      <c r="Y14" s="8" t="s"/>
      <c r="Z14" s="5" t="s"/>
    </row>
    <row r="15" spans="1:26">
      <c r="A15" s="9" t="str">
        <f>=样本清单!A15</f>
        <v>M1_P2_05</v>
      </c>
      <c r="B15" s="9" t="str">
        <f>=样本清单!B15</f>
        <v>M1</v>
      </c>
      <c r="C15" s="9" t="str">
        <f>=样本清单!C15</f>
        <v>ChatGPT Images 2.0</v>
      </c>
      <c r="D15" s="9" t="str">
        <f>=样本清单!D15</f>
        <v>P2</v>
      </c>
      <c r="E15" s="9">
        <f>=样本清单!F15</f>
        <v>5</v>
      </c>
      <c r="F15" s="8">
        <v>1</v>
      </c>
      <c r="G15" s="8">
        <v>2</v>
      </c>
      <c r="H15" s="8">
        <v>2</v>
      </c>
      <c r="I15" s="8">
        <v>0</v>
      </c>
      <c r="J15" s="8">
        <v>1</v>
      </c>
      <c r="K15" s="8">
        <v>2</v>
      </c>
      <c r="L15" s="8">
        <v>2</v>
      </c>
      <c r="M15" s="8">
        <v>2</v>
      </c>
      <c r="N15" s="8" t="s">
        <v>607</v>
      </c>
      <c r="O15" s="8">
        <v>2</v>
      </c>
      <c r="P15" s="8">
        <v>0</v>
      </c>
      <c r="Q15" s="8">
        <v>0</v>
      </c>
      <c r="R15" s="8">
        <v>0</v>
      </c>
      <c r="S15" s="8">
        <v>2</v>
      </c>
      <c r="T15" s="8">
        <v>1</v>
      </c>
      <c r="U15" s="8">
        <v>2</v>
      </c>
      <c r="V15" s="8">
        <v>1</v>
      </c>
      <c r="W15" s="8">
        <v>2</v>
      </c>
      <c r="X15" s="8">
        <v>1</v>
      </c>
      <c r="Y15" s="8" t="s"/>
      <c r="Z15" s="5" t="s"/>
    </row>
    <row r="16" spans="1:26">
      <c r="A16" s="9" t="str">
        <f>=样本清单!A16</f>
        <v>M1_P2_06</v>
      </c>
      <c r="B16" s="9" t="str">
        <f>=样本清单!B16</f>
        <v>M1</v>
      </c>
      <c r="C16" s="9" t="str">
        <f>=样本清单!C16</f>
        <v>ChatGPT Images 2.0</v>
      </c>
      <c r="D16" s="9" t="str">
        <f>=样本清单!D16</f>
        <v>P2</v>
      </c>
      <c r="E16" s="9">
        <f>=样本清单!F16</f>
        <v>6</v>
      </c>
      <c r="F16" s="8">
        <v>1</v>
      </c>
      <c r="G16" s="8">
        <v>0</v>
      </c>
      <c r="H16" s="8">
        <v>0</v>
      </c>
      <c r="I16" s="8">
        <v>0</v>
      </c>
      <c r="J16" s="8">
        <v>2</v>
      </c>
      <c r="K16" s="8">
        <v>0</v>
      </c>
      <c r="L16" s="8">
        <v>2</v>
      </c>
      <c r="M16" s="8">
        <v>2</v>
      </c>
      <c r="N16" s="8" t="s">
        <v>607</v>
      </c>
      <c r="O16" s="8">
        <v>2</v>
      </c>
      <c r="P16" s="8">
        <v>0</v>
      </c>
      <c r="Q16" s="8">
        <v>0</v>
      </c>
      <c r="R16" s="8">
        <v>0</v>
      </c>
      <c r="S16" s="8">
        <v>2</v>
      </c>
      <c r="T16" s="8">
        <v>1</v>
      </c>
      <c r="U16" s="8">
        <v>2</v>
      </c>
      <c r="V16" s="8">
        <v>1</v>
      </c>
      <c r="W16" s="8">
        <v>2</v>
      </c>
      <c r="X16" s="8">
        <v>1</v>
      </c>
      <c r="Y16" s="8" t="s"/>
      <c r="Z16" s="5" t="s"/>
    </row>
    <row r="17" spans="1:26">
      <c r="A17" s="9" t="str">
        <f>=样本清单!A17</f>
        <v>M1_P2_07</v>
      </c>
      <c r="B17" s="9" t="str">
        <f>=样本清单!B17</f>
        <v>M1</v>
      </c>
      <c r="C17" s="9" t="str">
        <f>=样本清单!C17</f>
        <v>ChatGPT Images 2.0</v>
      </c>
      <c r="D17" s="9" t="str">
        <f>=样本清单!D17</f>
        <v>P2</v>
      </c>
      <c r="E17" s="9">
        <f>=样本清单!F17</f>
        <v>7</v>
      </c>
      <c r="F17" s="8">
        <v>1</v>
      </c>
      <c r="G17" s="8">
        <v>0</v>
      </c>
      <c r="H17" s="8">
        <v>0</v>
      </c>
      <c r="I17" s="8">
        <v>0</v>
      </c>
      <c r="J17" s="8">
        <v>2</v>
      </c>
      <c r="K17" s="8">
        <v>2</v>
      </c>
      <c r="L17" s="8">
        <v>2</v>
      </c>
      <c r="M17" s="8">
        <v>2</v>
      </c>
      <c r="N17" s="8">
        <v>2</v>
      </c>
      <c r="O17" s="8">
        <v>2</v>
      </c>
      <c r="P17" s="8">
        <v>0</v>
      </c>
      <c r="Q17" s="8">
        <v>0</v>
      </c>
      <c r="R17" s="8">
        <v>0</v>
      </c>
      <c r="S17" s="8">
        <v>2</v>
      </c>
      <c r="T17" s="8">
        <v>1</v>
      </c>
      <c r="U17" s="8">
        <v>2</v>
      </c>
      <c r="V17" s="8">
        <v>1</v>
      </c>
      <c r="W17" s="8">
        <v>2</v>
      </c>
      <c r="X17" s="8">
        <v>1</v>
      </c>
      <c r="Y17" s="8" t="s"/>
      <c r="Z17" s="5" t="s"/>
    </row>
    <row r="18" spans="1:26">
      <c r="A18" s="9" t="str">
        <f>=样本清单!A18</f>
        <v>M1_P2_08</v>
      </c>
      <c r="B18" s="9" t="str">
        <f>=样本清单!B18</f>
        <v>M1</v>
      </c>
      <c r="C18" s="9" t="str">
        <f>=样本清单!C18</f>
        <v>ChatGPT Images 2.0</v>
      </c>
      <c r="D18" s="9" t="str">
        <f>=样本清单!D18</f>
        <v>P2</v>
      </c>
      <c r="E18" s="9">
        <f>=样本清单!F18</f>
        <v>8</v>
      </c>
      <c r="F18" s="8">
        <v>1</v>
      </c>
      <c r="G18" s="8">
        <v>1</v>
      </c>
      <c r="H18" s="8">
        <v>2</v>
      </c>
      <c r="I18" s="8">
        <v>0</v>
      </c>
      <c r="J18" s="8">
        <v>0</v>
      </c>
      <c r="K18" s="8">
        <v>2</v>
      </c>
      <c r="L18" s="8">
        <v>2</v>
      </c>
      <c r="M18" s="8">
        <v>2</v>
      </c>
      <c r="N18" s="8" t="s">
        <v>607</v>
      </c>
      <c r="O18" s="8">
        <v>2</v>
      </c>
      <c r="P18" s="8">
        <v>0</v>
      </c>
      <c r="Q18" s="8">
        <v>0</v>
      </c>
      <c r="R18" s="8">
        <v>0</v>
      </c>
      <c r="S18" s="8">
        <v>2</v>
      </c>
      <c r="T18" s="8">
        <v>1</v>
      </c>
      <c r="U18" s="8">
        <v>1</v>
      </c>
      <c r="V18" s="8">
        <v>1</v>
      </c>
      <c r="W18" s="8">
        <v>2</v>
      </c>
      <c r="X18" s="8">
        <v>1</v>
      </c>
      <c r="Y18" s="8" t="s"/>
      <c r="Z18" s="5" t="s"/>
    </row>
    <row r="19" spans="1:26">
      <c r="A19" s="9" t="str">
        <f>=样本清单!A19</f>
        <v>M1_P2_09</v>
      </c>
      <c r="B19" s="9" t="str">
        <f>=样本清单!B19</f>
        <v>M1</v>
      </c>
      <c r="C19" s="9" t="str">
        <f>=样本清单!C19</f>
        <v>ChatGPT Images 2.0</v>
      </c>
      <c r="D19" s="9" t="str">
        <f>=样本清单!D19</f>
        <v>P2</v>
      </c>
      <c r="E19" s="9">
        <f>=样本清单!F19</f>
        <v>9</v>
      </c>
      <c r="F19" s="8">
        <v>1</v>
      </c>
      <c r="G19" s="8">
        <v>0</v>
      </c>
      <c r="H19" s="8">
        <v>0</v>
      </c>
      <c r="I19" s="8">
        <v>1</v>
      </c>
      <c r="J19" s="8">
        <v>1</v>
      </c>
      <c r="K19" s="8">
        <v>0</v>
      </c>
      <c r="L19" s="8">
        <v>2</v>
      </c>
      <c r="M19" s="8">
        <v>2</v>
      </c>
      <c r="N19" s="8" t="s">
        <v>607</v>
      </c>
      <c r="O19" s="8">
        <v>2</v>
      </c>
      <c r="P19" s="8">
        <v>0</v>
      </c>
      <c r="Q19" s="8">
        <v>0</v>
      </c>
      <c r="R19" s="8">
        <v>0</v>
      </c>
      <c r="S19" s="8">
        <v>2</v>
      </c>
      <c r="T19" s="8">
        <v>1</v>
      </c>
      <c r="U19" s="8">
        <v>2</v>
      </c>
      <c r="V19" s="8">
        <v>1</v>
      </c>
      <c r="W19" s="8">
        <v>2</v>
      </c>
      <c r="X19" s="8">
        <v>1</v>
      </c>
      <c r="Y19" s="8" t="s"/>
      <c r="Z19" s="5" t="s"/>
    </row>
    <row r="20" spans="1:26">
      <c r="A20" s="9" t="str">
        <f>=样本清单!A20</f>
        <v>M1_P3_01</v>
      </c>
      <c r="B20" s="9" t="str">
        <f>=样本清单!B20</f>
        <v>M1</v>
      </c>
      <c r="C20" s="9" t="str">
        <f>=样本清单!C20</f>
        <v>ChatGPT Images 2.0</v>
      </c>
      <c r="D20" s="9" t="str">
        <f>=样本清单!D20</f>
        <v>P3</v>
      </c>
      <c r="E20" s="9">
        <f>=样本清单!F20</f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2</v>
      </c>
      <c r="L20" s="8">
        <v>2</v>
      </c>
      <c r="M20" s="8">
        <v>2</v>
      </c>
      <c r="N20" s="8">
        <v>1</v>
      </c>
      <c r="O20" s="8">
        <v>2</v>
      </c>
      <c r="P20" s="8">
        <v>0</v>
      </c>
      <c r="Q20" s="8">
        <v>0</v>
      </c>
      <c r="R20" s="8">
        <v>0</v>
      </c>
      <c r="S20" s="8">
        <v>2</v>
      </c>
      <c r="T20" s="8">
        <v>1</v>
      </c>
      <c r="U20" s="8">
        <v>2</v>
      </c>
      <c r="V20" s="8">
        <v>1</v>
      </c>
      <c r="W20" s="8">
        <v>2</v>
      </c>
      <c r="X20" s="8">
        <v>1</v>
      </c>
      <c r="Y20" s="8" t="s"/>
      <c r="Z20" s="5" t="s"/>
    </row>
    <row r="21" spans="1:26">
      <c r="A21" s="9" t="str">
        <f>=样本清单!A21</f>
        <v>M1_P3_02</v>
      </c>
      <c r="B21" s="9" t="str">
        <f>=样本清单!B21</f>
        <v>M1</v>
      </c>
      <c r="C21" s="9" t="str">
        <f>=样本清单!C21</f>
        <v>ChatGPT Images 2.0</v>
      </c>
      <c r="D21" s="9" t="str">
        <f>=样本清单!D21</f>
        <v>P3</v>
      </c>
      <c r="E21" s="9">
        <f>=样本清单!F21</f>
        <v>2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2</v>
      </c>
      <c r="M21" s="8">
        <v>2</v>
      </c>
      <c r="N21" s="8">
        <v>1</v>
      </c>
      <c r="O21" s="8">
        <v>2</v>
      </c>
      <c r="P21" s="8">
        <v>0</v>
      </c>
      <c r="Q21" s="8">
        <v>0</v>
      </c>
      <c r="R21" s="8">
        <v>0</v>
      </c>
      <c r="S21" s="8">
        <v>2</v>
      </c>
      <c r="T21" s="8">
        <v>2</v>
      </c>
      <c r="U21" s="8">
        <v>2</v>
      </c>
      <c r="V21" s="8">
        <v>2</v>
      </c>
      <c r="W21" s="8">
        <v>2</v>
      </c>
      <c r="X21" s="8">
        <v>2</v>
      </c>
      <c r="Y21" s="8" t="s"/>
      <c r="Z21" s="5" t="s"/>
    </row>
    <row r="22" spans="1:26">
      <c r="A22" s="9" t="str">
        <f>=样本清单!A22</f>
        <v>M1_P3_03</v>
      </c>
      <c r="B22" s="9" t="str">
        <f>=样本清单!B22</f>
        <v>M1</v>
      </c>
      <c r="C22" s="9" t="str">
        <f>=样本清单!C22</f>
        <v>ChatGPT Images 2.0</v>
      </c>
      <c r="D22" s="9" t="str">
        <f>=样本清单!D22</f>
        <v>P3</v>
      </c>
      <c r="E22" s="9">
        <f>=样本清单!F22</f>
        <v>3</v>
      </c>
      <c r="F22" s="8">
        <v>1</v>
      </c>
      <c r="G22" s="8">
        <v>1</v>
      </c>
      <c r="H22" s="8">
        <v>2</v>
      </c>
      <c r="I22" s="8">
        <v>1</v>
      </c>
      <c r="J22" s="8">
        <v>2</v>
      </c>
      <c r="K22" s="8">
        <v>0</v>
      </c>
      <c r="L22" s="8">
        <v>2</v>
      </c>
      <c r="M22" s="8">
        <v>2</v>
      </c>
      <c r="N22" s="8">
        <v>0</v>
      </c>
      <c r="O22" s="8">
        <v>2</v>
      </c>
      <c r="P22" s="8">
        <v>0</v>
      </c>
      <c r="Q22" s="8">
        <v>0</v>
      </c>
      <c r="R22" s="8">
        <v>0</v>
      </c>
      <c r="S22" s="8">
        <v>2</v>
      </c>
      <c r="T22" s="8">
        <v>2</v>
      </c>
      <c r="U22" s="8">
        <v>2</v>
      </c>
      <c r="V22" s="8">
        <v>2</v>
      </c>
      <c r="W22" s="8">
        <v>2</v>
      </c>
      <c r="X22" s="8">
        <v>2</v>
      </c>
      <c r="Y22" s="8" t="s"/>
      <c r="Z22" s="5" t="s"/>
    </row>
    <row r="23" spans="1:26">
      <c r="A23" s="9" t="str">
        <f>=样本清单!A23</f>
        <v>M1_P3_04</v>
      </c>
      <c r="B23" s="9" t="str">
        <f>=样本清单!B23</f>
        <v>M1</v>
      </c>
      <c r="C23" s="9" t="str">
        <f>=样本清单!C23</f>
        <v>ChatGPT Images 2.0</v>
      </c>
      <c r="D23" s="9" t="str">
        <f>=样本清单!D23</f>
        <v>P3</v>
      </c>
      <c r="E23" s="9">
        <f>=样本清单!F23</f>
        <v>4</v>
      </c>
      <c r="F23" s="8">
        <v>2</v>
      </c>
      <c r="G23" s="8">
        <v>1</v>
      </c>
      <c r="H23" s="8">
        <v>2</v>
      </c>
      <c r="I23" s="8">
        <v>1</v>
      </c>
      <c r="J23" s="8">
        <v>2</v>
      </c>
      <c r="K23" s="8">
        <v>0</v>
      </c>
      <c r="L23" s="8">
        <v>2</v>
      </c>
      <c r="M23" s="8">
        <v>2</v>
      </c>
      <c r="N23" s="8">
        <v>1</v>
      </c>
      <c r="O23" s="8">
        <v>2</v>
      </c>
      <c r="P23" s="8">
        <v>0</v>
      </c>
      <c r="Q23" s="8">
        <v>0</v>
      </c>
      <c r="R23" s="8">
        <v>0</v>
      </c>
      <c r="S23" s="8">
        <v>2</v>
      </c>
      <c r="T23" s="8">
        <v>2</v>
      </c>
      <c r="U23" s="8">
        <v>2</v>
      </c>
      <c r="V23" s="8">
        <v>2</v>
      </c>
      <c r="W23" s="8">
        <v>2</v>
      </c>
      <c r="X23" s="8">
        <v>2</v>
      </c>
      <c r="Y23" s="8" t="s"/>
      <c r="Z23" s="5" t="s"/>
    </row>
    <row r="24" spans="1:26">
      <c r="A24" s="9" t="str">
        <f>=样本清单!A24</f>
        <v>M1_P3_05</v>
      </c>
      <c r="B24" s="9" t="str">
        <f>=样本清单!B24</f>
        <v>M1</v>
      </c>
      <c r="C24" s="9" t="str">
        <f>=样本清单!C24</f>
        <v>ChatGPT Images 2.0</v>
      </c>
      <c r="D24" s="9" t="str">
        <f>=样本清单!D24</f>
        <v>P3</v>
      </c>
      <c r="E24" s="9">
        <f>=样本清单!F24</f>
        <v>5</v>
      </c>
      <c r="F24" s="8">
        <v>2</v>
      </c>
      <c r="G24" s="8">
        <v>2</v>
      </c>
      <c r="H24" s="8">
        <v>2</v>
      </c>
      <c r="I24" s="8">
        <v>2</v>
      </c>
      <c r="J24" s="8">
        <v>2</v>
      </c>
      <c r="K24" s="8">
        <v>2</v>
      </c>
      <c r="L24" s="8">
        <v>2</v>
      </c>
      <c r="M24" s="8">
        <v>2</v>
      </c>
      <c r="N24" s="8">
        <v>1</v>
      </c>
      <c r="O24" s="8">
        <v>1</v>
      </c>
      <c r="P24" s="8">
        <v>0</v>
      </c>
      <c r="Q24" s="8">
        <v>0</v>
      </c>
      <c r="R24" s="8">
        <v>1</v>
      </c>
      <c r="S24" s="8">
        <v>2</v>
      </c>
      <c r="T24" s="8">
        <v>2</v>
      </c>
      <c r="U24" s="8">
        <v>2</v>
      </c>
      <c r="V24" s="8">
        <v>2</v>
      </c>
      <c r="W24" s="8">
        <v>2</v>
      </c>
      <c r="X24" s="8">
        <v>2</v>
      </c>
      <c r="Y24" s="8" t="s"/>
      <c r="Z24" s="5" t="s"/>
    </row>
    <row r="25" spans="1:26">
      <c r="A25" s="9" t="str">
        <f>=样本清单!A25</f>
        <v>M1_P3_06</v>
      </c>
      <c r="B25" s="9" t="str">
        <f>=样本清单!B25</f>
        <v>M1</v>
      </c>
      <c r="C25" s="9" t="str">
        <f>=样本清单!C25</f>
        <v>ChatGPT Images 2.0</v>
      </c>
      <c r="D25" s="9" t="str">
        <f>=样本清单!D25</f>
        <v>P3</v>
      </c>
      <c r="E25" s="9">
        <f>=样本清单!F25</f>
        <v>6</v>
      </c>
      <c r="F25" s="8">
        <v>2</v>
      </c>
      <c r="G25" s="8">
        <v>2</v>
      </c>
      <c r="H25" s="8">
        <v>2</v>
      </c>
      <c r="I25" s="8">
        <v>2</v>
      </c>
      <c r="J25" s="8">
        <v>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1</v>
      </c>
      <c r="Q25" s="8">
        <v>0</v>
      </c>
      <c r="R25" s="8">
        <v>1</v>
      </c>
      <c r="S25" s="8">
        <v>2</v>
      </c>
      <c r="T25" s="8">
        <v>2</v>
      </c>
      <c r="U25" s="8">
        <v>2</v>
      </c>
      <c r="V25" s="8">
        <v>2</v>
      </c>
      <c r="W25" s="8">
        <v>2</v>
      </c>
      <c r="X25" s="8">
        <v>2</v>
      </c>
      <c r="Y25" s="8" t="s"/>
      <c r="Z25" s="5" t="s"/>
    </row>
    <row r="26" spans="1:26">
      <c r="A26" s="9" t="str">
        <f>=样本清单!A26</f>
        <v>M1_P3_07</v>
      </c>
      <c r="B26" s="9" t="str">
        <f>=样本清单!B26</f>
        <v>M1</v>
      </c>
      <c r="C26" s="9" t="str">
        <f>=样本清单!C26</f>
        <v>ChatGPT Images 2.0</v>
      </c>
      <c r="D26" s="9" t="str">
        <f>=样本清单!D26</f>
        <v>P3</v>
      </c>
      <c r="E26" s="9">
        <f>=样本清单!F26</f>
        <v>7</v>
      </c>
      <c r="F26" s="8">
        <v>2</v>
      </c>
      <c r="G26" s="8">
        <v>2</v>
      </c>
      <c r="H26" s="8">
        <v>1</v>
      </c>
      <c r="I26" s="8">
        <v>1</v>
      </c>
      <c r="J26" s="8">
        <v>1</v>
      </c>
      <c r="K26" s="8">
        <v>0</v>
      </c>
      <c r="L26" s="8">
        <v>2</v>
      </c>
      <c r="M26" s="8">
        <v>2</v>
      </c>
      <c r="N26" s="8">
        <v>0</v>
      </c>
      <c r="O26" s="8">
        <v>2</v>
      </c>
      <c r="P26" s="8">
        <v>0</v>
      </c>
      <c r="Q26" s="8">
        <v>0</v>
      </c>
      <c r="R26" s="8">
        <v>0</v>
      </c>
      <c r="S26" s="8">
        <v>2</v>
      </c>
      <c r="T26" s="8">
        <v>2</v>
      </c>
      <c r="U26" s="8">
        <v>2</v>
      </c>
      <c r="V26" s="8">
        <v>2</v>
      </c>
      <c r="W26" s="8">
        <v>2</v>
      </c>
      <c r="X26" s="8">
        <v>2</v>
      </c>
      <c r="Y26" s="8" t="s"/>
      <c r="Z26" s="5" t="s"/>
    </row>
    <row r="27" spans="1:26">
      <c r="A27" s="9" t="str">
        <f>=样本清单!A27</f>
        <v>M1_P3_08</v>
      </c>
      <c r="B27" s="9" t="str">
        <f>=样本清单!B27</f>
        <v>M1</v>
      </c>
      <c r="C27" s="9" t="str">
        <f>=样本清单!C27</f>
        <v>ChatGPT Images 2.0</v>
      </c>
      <c r="D27" s="9" t="str">
        <f>=样本清单!D27</f>
        <v>P3</v>
      </c>
      <c r="E27" s="9">
        <f>=样本清单!F27</f>
        <v>8</v>
      </c>
      <c r="F27" s="8">
        <v>2</v>
      </c>
      <c r="G27" s="8">
        <v>2</v>
      </c>
      <c r="H27" s="8">
        <v>2</v>
      </c>
      <c r="I27" s="8">
        <v>1</v>
      </c>
      <c r="J27" s="8">
        <v>1</v>
      </c>
      <c r="K27" s="8">
        <v>2</v>
      </c>
      <c r="L27" s="8">
        <v>2</v>
      </c>
      <c r="M27" s="8">
        <v>2</v>
      </c>
      <c r="N27" s="8">
        <v>1</v>
      </c>
      <c r="O27" s="8">
        <v>2</v>
      </c>
      <c r="P27" s="8">
        <v>0</v>
      </c>
      <c r="Q27" s="8">
        <v>0</v>
      </c>
      <c r="R27" s="8">
        <v>1</v>
      </c>
      <c r="S27" s="8">
        <v>2</v>
      </c>
      <c r="T27" s="8">
        <v>1</v>
      </c>
      <c r="U27" s="8">
        <v>2</v>
      </c>
      <c r="V27" s="8">
        <v>2</v>
      </c>
      <c r="W27" s="8">
        <v>2</v>
      </c>
      <c r="X27" s="8">
        <v>2</v>
      </c>
      <c r="Y27" s="8" t="s"/>
      <c r="Z27" s="5" t="s"/>
    </row>
    <row r="28" spans="1:26">
      <c r="A28" s="9" t="str">
        <f>=样本清单!A28</f>
        <v>M1_P3_09</v>
      </c>
      <c r="B28" s="9" t="str">
        <f>=样本清单!B28</f>
        <v>M1</v>
      </c>
      <c r="C28" s="9" t="str">
        <f>=样本清单!C28</f>
        <v>ChatGPT Images 2.0</v>
      </c>
      <c r="D28" s="9" t="str">
        <f>=样本清单!D28</f>
        <v>P3</v>
      </c>
      <c r="E28" s="9">
        <f>=样本清单!F28</f>
        <v>9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8">
        <v>0</v>
      </c>
      <c r="L28" s="8">
        <v>2</v>
      </c>
      <c r="M28" s="8">
        <v>2</v>
      </c>
      <c r="N28" s="8">
        <v>0</v>
      </c>
      <c r="O28" s="8">
        <v>2</v>
      </c>
      <c r="P28" s="8">
        <v>0</v>
      </c>
      <c r="Q28" s="8">
        <v>0</v>
      </c>
      <c r="R28" s="8">
        <v>1</v>
      </c>
      <c r="S28" s="8">
        <v>2</v>
      </c>
      <c r="T28" s="8">
        <v>2</v>
      </c>
      <c r="U28" s="8">
        <v>2</v>
      </c>
      <c r="V28" s="8">
        <v>2</v>
      </c>
      <c r="W28" s="8">
        <v>2</v>
      </c>
      <c r="X28" s="8">
        <v>2</v>
      </c>
      <c r="Y28" s="8" t="s"/>
      <c r="Z28" s="5" t="s"/>
    </row>
    <row r="29" spans="1:26">
      <c r="A29" s="9" t="str">
        <f>=样本清单!A29</f>
        <v>M2_P1_01</v>
      </c>
      <c r="B29" s="9" t="str">
        <f>=样本清单!B29</f>
        <v>M2</v>
      </c>
      <c r="C29" s="9" t="str">
        <f>=样本清单!C29</f>
        <v>gemini-3.1-flash-image</v>
      </c>
      <c r="D29" s="9" t="str">
        <f>=样本清单!D29</f>
        <v>P1</v>
      </c>
      <c r="E29" s="9">
        <f>=样本清单!F29</f>
        <v>1</v>
      </c>
      <c r="F29" s="8">
        <v>1</v>
      </c>
      <c r="G29" s="8">
        <v>1</v>
      </c>
      <c r="H29" s="8">
        <v>2</v>
      </c>
      <c r="I29" s="8">
        <v>0</v>
      </c>
      <c r="J29" s="8">
        <v>2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1</v>
      </c>
      <c r="V29" s="8">
        <v>1</v>
      </c>
      <c r="W29" s="8">
        <v>0</v>
      </c>
      <c r="X29" s="8">
        <v>0</v>
      </c>
      <c r="Y29" s="8" t="s"/>
      <c r="Z29" s="5" t="s"/>
    </row>
    <row r="30" spans="1:26">
      <c r="A30" s="9" t="str">
        <f>=样本清单!A30</f>
        <v>M2_P1_02</v>
      </c>
      <c r="B30" s="9" t="str">
        <f>=样本清单!B30</f>
        <v>M2</v>
      </c>
      <c r="C30" s="9" t="str">
        <f>=样本清单!C30</f>
        <v>gemini-3.1-flash-image</v>
      </c>
      <c r="D30" s="9" t="str">
        <f>=样本清单!D30</f>
        <v>P1</v>
      </c>
      <c r="E30" s="9">
        <f>=样本清单!F30</f>
        <v>2</v>
      </c>
      <c r="F30" s="8">
        <v>1</v>
      </c>
      <c r="G30" s="8">
        <v>1</v>
      </c>
      <c r="H30" s="8">
        <v>2</v>
      </c>
      <c r="I30" s="8">
        <v>1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 t="s"/>
      <c r="Z30" s="5" t="s"/>
    </row>
    <row r="31" spans="1:26">
      <c r="A31" s="9" t="str">
        <f>=样本清单!A31</f>
        <v>M2_P1_03</v>
      </c>
      <c r="B31" s="9" t="str">
        <f>=样本清单!B31</f>
        <v>M2</v>
      </c>
      <c r="C31" s="9" t="str">
        <f>=样本清单!C31</f>
        <v>gemini-3.1-flash-image</v>
      </c>
      <c r="D31" s="9" t="str">
        <f>=样本清单!D31</f>
        <v>P1</v>
      </c>
      <c r="E31" s="9">
        <f>=样本清单!F31</f>
        <v>3</v>
      </c>
      <c r="F31" s="8">
        <v>1</v>
      </c>
      <c r="G31" s="8">
        <v>1</v>
      </c>
      <c r="H31" s="8">
        <v>1</v>
      </c>
      <c r="I31" s="8">
        <v>1</v>
      </c>
      <c r="J31" s="8">
        <v>2</v>
      </c>
      <c r="K31" s="8">
        <v>1</v>
      </c>
      <c r="L31" s="8">
        <v>2</v>
      </c>
      <c r="M31" s="8">
        <v>2</v>
      </c>
      <c r="N31" s="8" t="s">
        <v>607</v>
      </c>
      <c r="O31" s="8">
        <v>1</v>
      </c>
      <c r="P31" s="8">
        <v>0</v>
      </c>
      <c r="Q31" s="8">
        <v>0</v>
      </c>
      <c r="R31" s="8">
        <v>0</v>
      </c>
      <c r="S31" s="8">
        <v>2</v>
      </c>
      <c r="T31" s="8">
        <v>1</v>
      </c>
      <c r="U31" s="8">
        <v>1</v>
      </c>
      <c r="V31" s="8">
        <v>1</v>
      </c>
      <c r="W31" s="8">
        <v>2</v>
      </c>
      <c r="X31" s="8">
        <v>1</v>
      </c>
      <c r="Y31" s="8" t="s"/>
      <c r="Z31" s="5" t="s"/>
    </row>
    <row r="32" spans="1:26">
      <c r="A32" s="9" t="str">
        <f>=样本清单!A32</f>
        <v>M2_P1_04</v>
      </c>
      <c r="B32" s="9" t="str">
        <f>=样本清单!B32</f>
        <v>M2</v>
      </c>
      <c r="C32" s="9" t="str">
        <f>=样本清单!C32</f>
        <v>gemini-3.1-flash-image</v>
      </c>
      <c r="D32" s="9" t="str">
        <f>=样本清单!D32</f>
        <v>P1</v>
      </c>
      <c r="E32" s="9">
        <f>=样本清单!F32</f>
        <v>4</v>
      </c>
      <c r="F32" s="8">
        <v>2</v>
      </c>
      <c r="G32" s="8">
        <v>2</v>
      </c>
      <c r="H32" s="8">
        <v>2</v>
      </c>
      <c r="I32" s="8">
        <v>0</v>
      </c>
      <c r="J32" s="8">
        <v>1</v>
      </c>
      <c r="K32" s="8">
        <v>0</v>
      </c>
      <c r="L32" s="8">
        <v>2</v>
      </c>
      <c r="M32" s="8">
        <v>2</v>
      </c>
      <c r="N32" s="8">
        <v>2</v>
      </c>
      <c r="O32" s="8">
        <v>2</v>
      </c>
      <c r="P32" s="8">
        <v>0</v>
      </c>
      <c r="Q32" s="8">
        <v>0</v>
      </c>
      <c r="R32" s="8">
        <v>0</v>
      </c>
      <c r="S32" s="8">
        <v>2</v>
      </c>
      <c r="T32" s="8">
        <v>1</v>
      </c>
      <c r="U32" s="8">
        <v>1</v>
      </c>
      <c r="V32" s="8">
        <v>1</v>
      </c>
      <c r="W32" s="8">
        <v>2</v>
      </c>
      <c r="X32" s="8">
        <v>2</v>
      </c>
      <c r="Y32" s="8" t="s"/>
      <c r="Z32" s="5" t="s"/>
    </row>
    <row r="33" spans="1:26">
      <c r="A33" s="9" t="str">
        <f>=样本清单!A33</f>
        <v>M2_P1_05</v>
      </c>
      <c r="B33" s="9" t="str">
        <f>=样本清单!B33</f>
        <v>M2</v>
      </c>
      <c r="C33" s="9" t="str">
        <f>=样本清单!C33</f>
        <v>gemini-3.1-flash-image</v>
      </c>
      <c r="D33" s="9" t="str">
        <f>=样本清单!D33</f>
        <v>P1</v>
      </c>
      <c r="E33" s="9">
        <f>=样本清单!F33</f>
        <v>5</v>
      </c>
      <c r="F33" s="8">
        <v>1</v>
      </c>
      <c r="G33" s="8">
        <v>2</v>
      </c>
      <c r="H33" s="8">
        <v>2</v>
      </c>
      <c r="I33" s="8">
        <v>0</v>
      </c>
      <c r="J33" s="8">
        <v>2</v>
      </c>
      <c r="K33" s="8">
        <v>0</v>
      </c>
      <c r="L33" s="8">
        <v>2</v>
      </c>
      <c r="M33" s="8">
        <v>2</v>
      </c>
      <c r="N33" s="8">
        <v>2</v>
      </c>
      <c r="O33" s="8">
        <v>2</v>
      </c>
      <c r="P33" s="8">
        <v>0</v>
      </c>
      <c r="Q33" s="8">
        <v>0</v>
      </c>
      <c r="R33" s="8">
        <v>0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2</v>
      </c>
      <c r="Y33" s="8" t="s"/>
      <c r="Z33" s="5" t="s"/>
    </row>
    <row r="34" spans="1:26">
      <c r="A34" s="9" t="str">
        <f>=样本清单!A34</f>
        <v>M2_P1_06</v>
      </c>
      <c r="B34" s="9" t="str">
        <f>=样本清单!B34</f>
        <v>M2</v>
      </c>
      <c r="C34" s="9" t="str">
        <f>=样本清单!C34</f>
        <v>gemini-3.1-flash-image</v>
      </c>
      <c r="D34" s="9" t="str">
        <f>=样本清单!D34</f>
        <v>P1</v>
      </c>
      <c r="E34" s="9">
        <f>=样本清单!F34</f>
        <v>6</v>
      </c>
      <c r="F34" s="8">
        <v>1</v>
      </c>
      <c r="G34" s="8">
        <v>1</v>
      </c>
      <c r="H34" s="8">
        <v>2</v>
      </c>
      <c r="I34" s="8">
        <v>0</v>
      </c>
      <c r="J34" s="8">
        <v>2</v>
      </c>
      <c r="K34" s="8">
        <v>0</v>
      </c>
      <c r="L34" s="8">
        <v>0</v>
      </c>
      <c r="M34" s="8">
        <v>1</v>
      </c>
      <c r="N34" s="8" t="s">
        <v>607</v>
      </c>
      <c r="O34" s="8">
        <v>1</v>
      </c>
      <c r="P34" s="8">
        <v>0</v>
      </c>
      <c r="Q34" s="8">
        <v>0</v>
      </c>
      <c r="R34" s="8">
        <v>0</v>
      </c>
      <c r="S34" s="8">
        <v>1</v>
      </c>
      <c r="T34" s="8">
        <v>1</v>
      </c>
      <c r="U34" s="8">
        <v>1</v>
      </c>
      <c r="V34" s="8">
        <v>1</v>
      </c>
      <c r="W34" s="8">
        <v>2</v>
      </c>
      <c r="X34" s="8">
        <v>1</v>
      </c>
      <c r="Y34" s="8" t="s"/>
      <c r="Z34" s="5" t="s"/>
    </row>
    <row r="35" spans="1:26">
      <c r="A35" s="9" t="str">
        <f>=样本清单!A35</f>
        <v>M2_P1_07</v>
      </c>
      <c r="B35" s="9" t="str">
        <f>=样本清单!B35</f>
        <v>M2</v>
      </c>
      <c r="C35" s="9" t="str">
        <f>=样本清单!C35</f>
        <v>gemini-3.1-flash-image</v>
      </c>
      <c r="D35" s="9" t="str">
        <f>=样本清单!D35</f>
        <v>P1</v>
      </c>
      <c r="E35" s="9">
        <f>=样本清单!F35</f>
        <v>7</v>
      </c>
      <c r="F35" s="8">
        <v>1</v>
      </c>
      <c r="G35" s="8">
        <v>2</v>
      </c>
      <c r="H35" s="8">
        <v>2</v>
      </c>
      <c r="I35" s="8">
        <v>0</v>
      </c>
      <c r="J35" s="8">
        <v>2</v>
      </c>
      <c r="K35" s="8">
        <v>0</v>
      </c>
      <c r="L35" s="8">
        <v>0</v>
      </c>
      <c r="M35" s="8">
        <v>0</v>
      </c>
      <c r="N35" s="8" t="s">
        <v>607</v>
      </c>
      <c r="O35" s="8">
        <v>1</v>
      </c>
      <c r="P35" s="8">
        <v>0</v>
      </c>
      <c r="Q35" s="8">
        <v>0</v>
      </c>
      <c r="R35" s="8">
        <v>0</v>
      </c>
      <c r="S35" s="8">
        <v>1</v>
      </c>
      <c r="T35" s="8">
        <v>1</v>
      </c>
      <c r="U35" s="8">
        <v>1</v>
      </c>
      <c r="V35" s="8">
        <v>1</v>
      </c>
      <c r="W35" s="8">
        <v>2</v>
      </c>
      <c r="X35" s="8">
        <v>2</v>
      </c>
      <c r="Y35" s="8" t="s"/>
      <c r="Z35" s="5" t="s"/>
    </row>
    <row r="36" spans="1:26">
      <c r="A36" s="9" t="str">
        <f>=样本清单!A36</f>
        <v>M2_P1_08</v>
      </c>
      <c r="B36" s="9" t="str">
        <f>=样本清单!B36</f>
        <v>M2</v>
      </c>
      <c r="C36" s="9" t="str">
        <f>=样本清单!C36</f>
        <v>gemini-3.1-flash-image</v>
      </c>
      <c r="D36" s="9" t="str">
        <f>=样本清单!D36</f>
        <v>P1</v>
      </c>
      <c r="E36" s="9">
        <f>=样本清单!F36</f>
        <v>8</v>
      </c>
      <c r="F36" s="8">
        <v>1</v>
      </c>
      <c r="G36" s="8">
        <v>1</v>
      </c>
      <c r="H36" s="8">
        <v>2</v>
      </c>
      <c r="I36" s="8">
        <v>0</v>
      </c>
      <c r="J36" s="8">
        <v>2</v>
      </c>
      <c r="K36" s="8">
        <v>0</v>
      </c>
      <c r="L36" s="8">
        <v>2</v>
      </c>
      <c r="M36" s="8">
        <v>2</v>
      </c>
      <c r="N36" s="8">
        <v>2</v>
      </c>
      <c r="O36" s="8">
        <v>2</v>
      </c>
      <c r="P36" s="8">
        <v>0</v>
      </c>
      <c r="Q36" s="8">
        <v>0</v>
      </c>
      <c r="R36" s="8">
        <v>0</v>
      </c>
      <c r="S36" s="8">
        <v>1</v>
      </c>
      <c r="T36" s="8">
        <v>2</v>
      </c>
      <c r="U36" s="8">
        <v>1</v>
      </c>
      <c r="V36" s="8">
        <v>1</v>
      </c>
      <c r="W36" s="8">
        <v>2</v>
      </c>
      <c r="X36" s="8">
        <v>2</v>
      </c>
      <c r="Y36" s="8" t="s"/>
      <c r="Z36" s="5" t="s"/>
    </row>
    <row r="37" spans="1:26">
      <c r="A37" s="9" t="str">
        <f>=样本清单!A37</f>
        <v>M2_P1_09</v>
      </c>
      <c r="B37" s="9" t="str">
        <f>=样本清单!B37</f>
        <v>M2</v>
      </c>
      <c r="C37" s="9" t="str">
        <f>=样本清单!C37</f>
        <v>gemini-3.1-flash-image</v>
      </c>
      <c r="D37" s="9" t="str">
        <f>=样本清单!D37</f>
        <v>P1</v>
      </c>
      <c r="E37" s="9">
        <f>=样本清单!F37</f>
        <v>9</v>
      </c>
      <c r="F37" s="8">
        <v>2</v>
      </c>
      <c r="G37" s="8">
        <v>2</v>
      </c>
      <c r="H37" s="8">
        <v>2</v>
      </c>
      <c r="I37" s="8">
        <v>1</v>
      </c>
      <c r="J37" s="8">
        <v>1</v>
      </c>
      <c r="K37" s="8">
        <v>0</v>
      </c>
      <c r="L37" s="8">
        <v>2</v>
      </c>
      <c r="M37" s="8">
        <v>2</v>
      </c>
      <c r="N37" s="8" t="s">
        <v>607</v>
      </c>
      <c r="O37" s="8">
        <v>1</v>
      </c>
      <c r="P37" s="8">
        <v>0</v>
      </c>
      <c r="Q37" s="8">
        <v>0</v>
      </c>
      <c r="R37" s="8">
        <v>0</v>
      </c>
      <c r="S37" s="8">
        <v>1</v>
      </c>
      <c r="T37" s="8">
        <v>1</v>
      </c>
      <c r="U37" s="8">
        <v>1</v>
      </c>
      <c r="V37" s="8">
        <v>1</v>
      </c>
      <c r="W37" s="8">
        <v>2</v>
      </c>
      <c r="X37" s="8">
        <v>2</v>
      </c>
      <c r="Y37" s="8" t="s"/>
      <c r="Z37" s="5" t="s"/>
    </row>
    <row r="38" spans="1:26">
      <c r="A38" s="9" t="str">
        <f>=样本清单!A38</f>
        <v>M2_P2_01</v>
      </c>
      <c r="B38" s="9" t="str">
        <f>=样本清单!B38</f>
        <v>M2</v>
      </c>
      <c r="C38" s="9" t="str">
        <f>=样本清单!C38</f>
        <v>gemini-3.1-flash-image</v>
      </c>
      <c r="D38" s="9" t="str">
        <f>=样本清单!D38</f>
        <v>P2</v>
      </c>
      <c r="E38" s="9">
        <f>=样本清单!F38</f>
        <v>1</v>
      </c>
      <c r="F38" s="8">
        <v>1</v>
      </c>
      <c r="G38" s="8">
        <v>0</v>
      </c>
      <c r="H38" s="8">
        <v>2</v>
      </c>
      <c r="I38" s="8">
        <v>1</v>
      </c>
      <c r="J38" s="8">
        <v>2</v>
      </c>
      <c r="K38" s="8">
        <v>0</v>
      </c>
      <c r="L38" s="8">
        <v>2</v>
      </c>
      <c r="M38" s="8">
        <v>2</v>
      </c>
      <c r="N38" s="8" t="s">
        <v>607</v>
      </c>
      <c r="O38" s="8">
        <v>2</v>
      </c>
      <c r="P38" s="8">
        <v>0</v>
      </c>
      <c r="Q38" s="8">
        <v>0</v>
      </c>
      <c r="R38" s="8">
        <v>0</v>
      </c>
      <c r="S38" s="8">
        <v>2</v>
      </c>
      <c r="T38" s="8">
        <v>1</v>
      </c>
      <c r="U38" s="8">
        <v>0</v>
      </c>
      <c r="V38" s="8">
        <v>1</v>
      </c>
      <c r="W38" s="8">
        <v>2</v>
      </c>
      <c r="X38" s="8">
        <v>1</v>
      </c>
      <c r="Y38" s="8" t="s"/>
      <c r="Z38" s="5" t="s"/>
    </row>
    <row r="39" spans="1:26">
      <c r="A39" s="9" t="str">
        <f>=样本清单!A39</f>
        <v>M2_P2_02</v>
      </c>
      <c r="B39" s="9" t="str">
        <f>=样本清单!B39</f>
        <v>M2</v>
      </c>
      <c r="C39" s="9" t="str">
        <f>=样本清单!C39</f>
        <v>gemini-3.1-flash-image</v>
      </c>
      <c r="D39" s="9" t="str">
        <f>=样本清单!D39</f>
        <v>P2</v>
      </c>
      <c r="E39" s="9">
        <f>=样本清单!F39</f>
        <v>2</v>
      </c>
      <c r="F39" s="8">
        <v>1</v>
      </c>
      <c r="G39" s="8">
        <v>0</v>
      </c>
      <c r="H39" s="8">
        <v>2</v>
      </c>
      <c r="I39" s="8">
        <v>1</v>
      </c>
      <c r="J39" s="8">
        <v>0</v>
      </c>
      <c r="K39" s="8">
        <v>0</v>
      </c>
      <c r="L39" s="8">
        <v>2</v>
      </c>
      <c r="M39" s="8">
        <v>2</v>
      </c>
      <c r="N39" s="8">
        <v>0</v>
      </c>
      <c r="O39" s="8">
        <v>2</v>
      </c>
      <c r="P39" s="8">
        <v>0</v>
      </c>
      <c r="Q39" s="8">
        <v>0</v>
      </c>
      <c r="R39" s="8">
        <v>0</v>
      </c>
      <c r="S39" s="8">
        <v>2</v>
      </c>
      <c r="T39" s="8">
        <v>1</v>
      </c>
      <c r="U39" s="8">
        <v>0</v>
      </c>
      <c r="V39" s="8">
        <v>1</v>
      </c>
      <c r="W39" s="8">
        <v>2</v>
      </c>
      <c r="X39" s="8">
        <v>1</v>
      </c>
      <c r="Y39" s="8" t="s"/>
      <c r="Z39" s="5" t="s"/>
    </row>
    <row r="40" spans="1:26">
      <c r="A40" s="9" t="str">
        <f>=样本清单!A40</f>
        <v>M2_P2_03</v>
      </c>
      <c r="B40" s="9" t="str">
        <f>=样本清单!B40</f>
        <v>M2</v>
      </c>
      <c r="C40" s="9" t="str">
        <f>=样本清单!C40</f>
        <v>gemini-3.1-flash-image</v>
      </c>
      <c r="D40" s="9" t="str">
        <f>=样本清单!D40</f>
        <v>P2</v>
      </c>
      <c r="E40" s="9">
        <f>=样本清单!F40</f>
        <v>3</v>
      </c>
      <c r="F40" s="8">
        <v>1</v>
      </c>
      <c r="G40" s="8">
        <v>0</v>
      </c>
      <c r="H40" s="8">
        <v>2</v>
      </c>
      <c r="I40" s="8">
        <v>1</v>
      </c>
      <c r="J40" s="8">
        <v>0</v>
      </c>
      <c r="K40" s="8">
        <v>0</v>
      </c>
      <c r="L40" s="8">
        <v>2</v>
      </c>
      <c r="M40" s="8">
        <v>2</v>
      </c>
      <c r="N40" s="8">
        <v>0</v>
      </c>
      <c r="O40" s="8">
        <v>2</v>
      </c>
      <c r="P40" s="8">
        <v>0</v>
      </c>
      <c r="Q40" s="8">
        <v>0</v>
      </c>
      <c r="R40" s="8">
        <v>0</v>
      </c>
      <c r="S40" s="8">
        <v>2</v>
      </c>
      <c r="T40" s="8">
        <v>1</v>
      </c>
      <c r="U40" s="8">
        <v>0</v>
      </c>
      <c r="V40" s="8">
        <v>1</v>
      </c>
      <c r="W40" s="8">
        <v>2</v>
      </c>
      <c r="X40" s="8">
        <v>1</v>
      </c>
      <c r="Y40" s="8" t="s"/>
      <c r="Z40" s="5" t="s"/>
    </row>
    <row r="41" spans="1:26">
      <c r="A41" s="9" t="str">
        <f>=样本清单!A41</f>
        <v>M2_P2_04</v>
      </c>
      <c r="B41" s="9" t="str">
        <f>=样本清单!B41</f>
        <v>M2</v>
      </c>
      <c r="C41" s="9" t="str">
        <f>=样本清单!C41</f>
        <v>gemini-3.1-flash-image</v>
      </c>
      <c r="D41" s="9" t="str">
        <f>=样本清单!D41</f>
        <v>P2</v>
      </c>
      <c r="E41" s="9">
        <f>=样本清单!F41</f>
        <v>4</v>
      </c>
      <c r="F41" s="8">
        <v>1</v>
      </c>
      <c r="G41" s="8">
        <v>0</v>
      </c>
      <c r="H41" s="8">
        <v>2</v>
      </c>
      <c r="I41" s="8">
        <v>1</v>
      </c>
      <c r="J41" s="8">
        <v>0</v>
      </c>
      <c r="K41" s="8">
        <v>0</v>
      </c>
      <c r="L41" s="8">
        <v>2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1</v>
      </c>
      <c r="V41" s="8">
        <v>1</v>
      </c>
      <c r="W41" s="8">
        <v>2</v>
      </c>
      <c r="X41" s="8">
        <v>1</v>
      </c>
      <c r="Y41" s="8" t="s"/>
      <c r="Z41" s="5" t="s"/>
    </row>
    <row r="42" spans="1:26">
      <c r="A42" s="9" t="str">
        <f>=样本清单!A42</f>
        <v>M2_P2_05</v>
      </c>
      <c r="B42" s="9" t="str">
        <f>=样本清单!B42</f>
        <v>M2</v>
      </c>
      <c r="C42" s="9" t="str">
        <f>=样本清单!C42</f>
        <v>gemini-3.1-flash-image</v>
      </c>
      <c r="D42" s="9" t="str">
        <f>=样本清单!D42</f>
        <v>P2</v>
      </c>
      <c r="E42" s="9">
        <f>=样本清单!F42</f>
        <v>5</v>
      </c>
      <c r="F42" s="8">
        <v>1</v>
      </c>
      <c r="G42" s="8">
        <v>0</v>
      </c>
      <c r="H42" s="8">
        <v>2</v>
      </c>
      <c r="I42" s="8">
        <v>1</v>
      </c>
      <c r="J42" s="8">
        <v>2</v>
      </c>
      <c r="K42" s="8">
        <v>0</v>
      </c>
      <c r="L42" s="8">
        <v>2</v>
      </c>
      <c r="M42" s="8">
        <v>2</v>
      </c>
      <c r="N42" s="8" t="s">
        <v>607</v>
      </c>
      <c r="O42" s="8">
        <v>2</v>
      </c>
      <c r="P42" s="8">
        <v>0</v>
      </c>
      <c r="Q42" s="8">
        <v>0</v>
      </c>
      <c r="R42" s="8">
        <v>0</v>
      </c>
      <c r="S42" s="8">
        <v>2</v>
      </c>
      <c r="T42" s="8">
        <v>1</v>
      </c>
      <c r="U42" s="8">
        <v>0</v>
      </c>
      <c r="V42" s="8">
        <v>1</v>
      </c>
      <c r="W42" s="8">
        <v>2</v>
      </c>
      <c r="X42" s="8">
        <v>1</v>
      </c>
      <c r="Y42" s="8" t="s"/>
      <c r="Z42" s="5" t="s"/>
    </row>
    <row r="43" spans="1:26">
      <c r="A43" s="9" t="str">
        <f>=样本清单!A43</f>
        <v>M2_P2_06</v>
      </c>
      <c r="B43" s="9" t="str">
        <f>=样本清单!B43</f>
        <v>M2</v>
      </c>
      <c r="C43" s="9" t="str">
        <f>=样本清单!C43</f>
        <v>gemini-3.1-flash-image</v>
      </c>
      <c r="D43" s="9" t="str">
        <f>=样本清单!D43</f>
        <v>P2</v>
      </c>
      <c r="E43" s="9">
        <f>=样本清单!F43</f>
        <v>6</v>
      </c>
      <c r="F43" s="8">
        <v>1</v>
      </c>
      <c r="G43" s="8">
        <v>2</v>
      </c>
      <c r="H43" s="8">
        <v>2</v>
      </c>
      <c r="I43" s="8">
        <v>2</v>
      </c>
      <c r="J43" s="8">
        <v>0</v>
      </c>
      <c r="K43" s="8">
        <v>0</v>
      </c>
      <c r="L43" s="8">
        <v>2</v>
      </c>
      <c r="M43" s="8">
        <v>2</v>
      </c>
      <c r="N43" s="8" t="s">
        <v>607</v>
      </c>
      <c r="O43" s="8">
        <v>2</v>
      </c>
      <c r="P43" s="8">
        <v>0</v>
      </c>
      <c r="Q43" s="8">
        <v>0</v>
      </c>
      <c r="R43" s="8">
        <v>0</v>
      </c>
      <c r="S43" s="8">
        <v>2</v>
      </c>
      <c r="T43" s="8">
        <v>0</v>
      </c>
      <c r="U43" s="8">
        <v>2</v>
      </c>
      <c r="V43" s="8">
        <v>1</v>
      </c>
      <c r="W43" s="8">
        <v>2</v>
      </c>
      <c r="X43" s="8">
        <v>1</v>
      </c>
      <c r="Y43" s="8" t="s"/>
      <c r="Z43" s="5" t="s"/>
    </row>
    <row r="44" spans="1:26">
      <c r="A44" s="9" t="str">
        <f>=样本清单!A44</f>
        <v>M2_P2_07</v>
      </c>
      <c r="B44" s="9" t="str">
        <f>=样本清单!B44</f>
        <v>M2</v>
      </c>
      <c r="C44" s="9" t="str">
        <f>=样本清单!C44</f>
        <v>gemini-3.1-flash-image</v>
      </c>
      <c r="D44" s="9" t="str">
        <f>=样本清单!D44</f>
        <v>P2</v>
      </c>
      <c r="E44" s="9">
        <f>=样本清单!F44</f>
        <v>7</v>
      </c>
      <c r="F44" s="8">
        <v>1</v>
      </c>
      <c r="G44" s="8">
        <v>2</v>
      </c>
      <c r="H44" s="8">
        <v>2</v>
      </c>
      <c r="I44" s="8">
        <v>1</v>
      </c>
      <c r="J44" s="8">
        <v>0</v>
      </c>
      <c r="K44" s="8">
        <v>0</v>
      </c>
      <c r="L44" s="8">
        <v>2</v>
      </c>
      <c r="M44" s="8">
        <v>2</v>
      </c>
      <c r="N44" s="8">
        <v>0</v>
      </c>
      <c r="O44" s="8">
        <v>2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1</v>
      </c>
      <c r="V44" s="8">
        <v>1</v>
      </c>
      <c r="W44" s="8">
        <v>2</v>
      </c>
      <c r="X44" s="8">
        <v>1</v>
      </c>
      <c r="Y44" s="8" t="s"/>
      <c r="Z44" s="5" t="s"/>
    </row>
    <row r="45" spans="1:26">
      <c r="A45" s="9" t="str">
        <f>=样本清单!A45</f>
        <v>M2_P2_08</v>
      </c>
      <c r="B45" s="9" t="str">
        <f>=样本清单!B45</f>
        <v>M2</v>
      </c>
      <c r="C45" s="9" t="str">
        <f>=样本清单!C45</f>
        <v>gemini-3.1-flash-image</v>
      </c>
      <c r="D45" s="9" t="str">
        <f>=样本清单!D45</f>
        <v>P2</v>
      </c>
      <c r="E45" s="9">
        <f>=样本清单!F45</f>
        <v>8</v>
      </c>
      <c r="F45" s="8">
        <v>1</v>
      </c>
      <c r="G45" s="8">
        <v>2</v>
      </c>
      <c r="H45" s="8">
        <v>2</v>
      </c>
      <c r="I45" s="8">
        <v>1</v>
      </c>
      <c r="J45" s="8">
        <v>0</v>
      </c>
      <c r="K45" s="8">
        <v>0</v>
      </c>
      <c r="L45" s="8">
        <v>2</v>
      </c>
      <c r="M45" s="8">
        <v>2</v>
      </c>
      <c r="N45" s="8" t="s">
        <v>607</v>
      </c>
      <c r="O45" s="8">
        <v>2</v>
      </c>
      <c r="P45" s="8">
        <v>0</v>
      </c>
      <c r="Q45" s="8">
        <v>0</v>
      </c>
      <c r="R45" s="8">
        <v>0</v>
      </c>
      <c r="S45" s="8">
        <v>2</v>
      </c>
      <c r="T45" s="8">
        <v>1</v>
      </c>
      <c r="U45" s="8">
        <v>1</v>
      </c>
      <c r="V45" s="8">
        <v>1</v>
      </c>
      <c r="W45" s="8">
        <v>2</v>
      </c>
      <c r="X45" s="8">
        <v>1</v>
      </c>
      <c r="Y45" s="8" t="s"/>
      <c r="Z45" s="5" t="s"/>
    </row>
    <row r="46" spans="1:26">
      <c r="A46" s="9" t="str">
        <f>=样本清单!A46</f>
        <v>M2_P2_09</v>
      </c>
      <c r="B46" s="9" t="str">
        <f>=样本清单!B46</f>
        <v>M2</v>
      </c>
      <c r="C46" s="9" t="str">
        <f>=样本清单!C46</f>
        <v>gemini-3.1-flash-image</v>
      </c>
      <c r="D46" s="9" t="str">
        <f>=样本清单!D46</f>
        <v>P2</v>
      </c>
      <c r="E46" s="9">
        <f>=样本清单!F46</f>
        <v>9</v>
      </c>
      <c r="F46" s="8">
        <v>1</v>
      </c>
      <c r="G46" s="8">
        <v>1</v>
      </c>
      <c r="H46" s="8">
        <v>2</v>
      </c>
      <c r="I46" s="8">
        <v>1</v>
      </c>
      <c r="J46" s="8">
        <v>0</v>
      </c>
      <c r="K46" s="8">
        <v>0</v>
      </c>
      <c r="L46" s="8">
        <v>2</v>
      </c>
      <c r="M46" s="8">
        <v>2</v>
      </c>
      <c r="N46" s="8">
        <v>1</v>
      </c>
      <c r="O46" s="8">
        <v>2</v>
      </c>
      <c r="P46" s="8">
        <v>0</v>
      </c>
      <c r="Q46" s="8">
        <v>0</v>
      </c>
      <c r="R46" s="8">
        <v>0</v>
      </c>
      <c r="S46" s="8">
        <v>1</v>
      </c>
      <c r="T46" s="8">
        <v>1</v>
      </c>
      <c r="U46" s="8">
        <v>1</v>
      </c>
      <c r="V46" s="8">
        <v>1</v>
      </c>
      <c r="W46" s="8">
        <v>2</v>
      </c>
      <c r="X46" s="8">
        <v>1</v>
      </c>
      <c r="Y46" s="8" t="s"/>
      <c r="Z46" s="5" t="s"/>
    </row>
    <row r="47" spans="1:26">
      <c r="A47" s="9" t="str">
        <f>=样本清单!A47</f>
        <v>M2_P3_01</v>
      </c>
      <c r="B47" s="9" t="str">
        <f>=样本清单!B47</f>
        <v>M2</v>
      </c>
      <c r="C47" s="9" t="str">
        <f>=样本清单!C47</f>
        <v>gemini-3.1-flash-image</v>
      </c>
      <c r="D47" s="9" t="str">
        <f>=样本清单!D47</f>
        <v>P3</v>
      </c>
      <c r="E47" s="9">
        <f>=样本清单!F47</f>
        <v>1</v>
      </c>
      <c r="F47" s="8">
        <v>2</v>
      </c>
      <c r="G47" s="8">
        <v>2</v>
      </c>
      <c r="H47" s="8">
        <v>2</v>
      </c>
      <c r="I47" s="8">
        <v>1</v>
      </c>
      <c r="J47" s="8">
        <v>1</v>
      </c>
      <c r="K47" s="8">
        <v>0</v>
      </c>
      <c r="L47" s="8">
        <v>2</v>
      </c>
      <c r="M47" s="8">
        <v>2</v>
      </c>
      <c r="N47" s="8">
        <v>2</v>
      </c>
      <c r="O47" s="8">
        <v>2</v>
      </c>
      <c r="P47" s="8">
        <v>0</v>
      </c>
      <c r="Q47" s="8">
        <v>0</v>
      </c>
      <c r="R47" s="8">
        <v>0</v>
      </c>
      <c r="S47" s="8">
        <v>2</v>
      </c>
      <c r="T47" s="8">
        <v>1</v>
      </c>
      <c r="U47" s="8">
        <v>0</v>
      </c>
      <c r="V47" s="8">
        <v>1</v>
      </c>
      <c r="W47" s="8">
        <v>2</v>
      </c>
      <c r="X47" s="8">
        <v>1</v>
      </c>
      <c r="Y47" s="8" t="s"/>
      <c r="Z47" s="5" t="s"/>
    </row>
    <row r="48" spans="1:26">
      <c r="A48" s="9" t="str">
        <f>=样本清单!A48</f>
        <v>M2_P3_02</v>
      </c>
      <c r="B48" s="9" t="str">
        <f>=样本清单!B48</f>
        <v>M2</v>
      </c>
      <c r="C48" s="9" t="str">
        <f>=样本清单!C48</f>
        <v>gemini-3.1-flash-image</v>
      </c>
      <c r="D48" s="9" t="str">
        <f>=样本清单!D48</f>
        <v>P3</v>
      </c>
      <c r="E48" s="9">
        <f>=样本清单!F48</f>
        <v>2</v>
      </c>
      <c r="F48" s="8">
        <v>2</v>
      </c>
      <c r="G48" s="8">
        <v>2</v>
      </c>
      <c r="H48" s="8">
        <v>2</v>
      </c>
      <c r="I48" s="8">
        <v>1</v>
      </c>
      <c r="J48" s="8">
        <v>1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0</v>
      </c>
      <c r="Q48" s="8">
        <v>0</v>
      </c>
      <c r="R48" s="8">
        <v>1</v>
      </c>
      <c r="S48" s="8">
        <v>2</v>
      </c>
      <c r="T48" s="8">
        <v>1</v>
      </c>
      <c r="U48" s="8">
        <v>0</v>
      </c>
      <c r="V48" s="8">
        <v>1</v>
      </c>
      <c r="W48" s="8">
        <v>2</v>
      </c>
      <c r="X48" s="8">
        <v>2</v>
      </c>
      <c r="Y48" s="8" t="s"/>
      <c r="Z48" s="5" t="s"/>
    </row>
    <row r="49" spans="1:26">
      <c r="A49" s="9" t="str">
        <f>=样本清单!A49</f>
        <v>M2_P3_03</v>
      </c>
      <c r="B49" s="9" t="str">
        <f>=样本清单!B49</f>
        <v>M2</v>
      </c>
      <c r="C49" s="9" t="str">
        <f>=样本清单!C49</f>
        <v>gemini-3.1-flash-image</v>
      </c>
      <c r="D49" s="9" t="str">
        <f>=样本清单!D49</f>
        <v>P3</v>
      </c>
      <c r="E49" s="9">
        <f>=样本清单!F49</f>
        <v>3</v>
      </c>
      <c r="F49" s="8">
        <v>1</v>
      </c>
      <c r="G49" s="8">
        <v>2</v>
      </c>
      <c r="H49" s="8">
        <v>2</v>
      </c>
      <c r="I49" s="8">
        <v>1</v>
      </c>
      <c r="J49" s="8">
        <v>0</v>
      </c>
      <c r="K49" s="8">
        <v>1</v>
      </c>
      <c r="L49" s="8">
        <v>2</v>
      </c>
      <c r="M49" s="8">
        <v>2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1</v>
      </c>
      <c r="U49" s="8">
        <v>0</v>
      </c>
      <c r="V49" s="8">
        <v>0</v>
      </c>
      <c r="W49" s="8">
        <v>1</v>
      </c>
      <c r="X49" s="8">
        <v>0</v>
      </c>
      <c r="Y49" s="8" t="s"/>
      <c r="Z49" s="5" t="s"/>
    </row>
    <row r="50" spans="1:26">
      <c r="A50" s="9" t="str">
        <f>=样本清单!A50</f>
        <v>M2_P3_04</v>
      </c>
      <c r="B50" s="9" t="str">
        <f>=样本清单!B50</f>
        <v>M2</v>
      </c>
      <c r="C50" s="9" t="str">
        <f>=样本清单!C50</f>
        <v>gemini-3.1-flash-image</v>
      </c>
      <c r="D50" s="9" t="str">
        <f>=样本清单!D50</f>
        <v>P3</v>
      </c>
      <c r="E50" s="9">
        <f>=样本清单!F50</f>
        <v>4</v>
      </c>
      <c r="F50" s="8">
        <v>1</v>
      </c>
      <c r="G50" s="8">
        <v>2</v>
      </c>
      <c r="H50" s="8">
        <v>2</v>
      </c>
      <c r="I50" s="8">
        <v>1</v>
      </c>
      <c r="J50" s="8">
        <v>1</v>
      </c>
      <c r="K50" s="8">
        <v>0</v>
      </c>
      <c r="L50" s="8">
        <v>2</v>
      </c>
      <c r="M50" s="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1</v>
      </c>
      <c r="X50" s="8">
        <v>1</v>
      </c>
      <c r="Y50" s="8" t="s"/>
      <c r="Z50" s="5" t="s"/>
    </row>
    <row r="51" spans="1:26">
      <c r="A51" s="9" t="str">
        <f>=样本清单!A51</f>
        <v>M2_P3_05</v>
      </c>
      <c r="B51" s="9" t="str">
        <f>=样本清单!B51</f>
        <v>M2</v>
      </c>
      <c r="C51" s="9" t="str">
        <f>=样本清单!C51</f>
        <v>gemini-3.1-flash-image</v>
      </c>
      <c r="D51" s="9" t="str">
        <f>=样本清单!D51</f>
        <v>P3</v>
      </c>
      <c r="E51" s="9">
        <f>=样本清单!F51</f>
        <v>5</v>
      </c>
      <c r="F51" s="8">
        <v>1</v>
      </c>
      <c r="G51" s="8">
        <v>2</v>
      </c>
      <c r="H51" s="8">
        <v>2</v>
      </c>
      <c r="I51" s="8">
        <v>1</v>
      </c>
      <c r="J51" s="8">
        <v>1</v>
      </c>
      <c r="K51" s="8">
        <v>0</v>
      </c>
      <c r="L51" s="8">
        <v>2</v>
      </c>
      <c r="M51" s="8">
        <v>2</v>
      </c>
      <c r="N51" s="8">
        <v>2</v>
      </c>
      <c r="O51" s="8">
        <v>2</v>
      </c>
      <c r="P51" s="8">
        <v>0</v>
      </c>
      <c r="Q51" s="8">
        <v>0</v>
      </c>
      <c r="R51" s="8">
        <v>1</v>
      </c>
      <c r="S51" s="8">
        <v>0</v>
      </c>
      <c r="T51" s="8">
        <v>2</v>
      </c>
      <c r="U51" s="8">
        <v>0</v>
      </c>
      <c r="V51" s="8">
        <v>1</v>
      </c>
      <c r="W51" s="8">
        <v>2</v>
      </c>
      <c r="X51" s="8">
        <v>1</v>
      </c>
      <c r="Y51" s="8" t="s"/>
      <c r="Z51" s="5" t="s"/>
    </row>
    <row r="52" spans="1:26">
      <c r="A52" s="9" t="str">
        <f>=样本清单!A52</f>
        <v>M2_P3_06</v>
      </c>
      <c r="B52" s="9" t="str">
        <f>=样本清单!B52</f>
        <v>M2</v>
      </c>
      <c r="C52" s="9" t="str">
        <f>=样本清单!C52</f>
        <v>gemini-3.1-flash-image</v>
      </c>
      <c r="D52" s="9" t="str">
        <f>=样本清单!D52</f>
        <v>P3</v>
      </c>
      <c r="E52" s="9">
        <f>=样本清单!F52</f>
        <v>6</v>
      </c>
      <c r="F52" s="8">
        <v>2</v>
      </c>
      <c r="G52" s="8">
        <v>2</v>
      </c>
      <c r="H52" s="8">
        <v>2</v>
      </c>
      <c r="I52" s="8">
        <v>1</v>
      </c>
      <c r="J52" s="8">
        <v>1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0</v>
      </c>
      <c r="Q52" s="8">
        <v>0</v>
      </c>
      <c r="R52" s="8">
        <v>1</v>
      </c>
      <c r="S52" s="8">
        <v>1</v>
      </c>
      <c r="T52" s="8">
        <v>2</v>
      </c>
      <c r="U52" s="8">
        <v>0</v>
      </c>
      <c r="V52" s="8">
        <v>1</v>
      </c>
      <c r="W52" s="8">
        <v>1</v>
      </c>
      <c r="X52" s="8">
        <v>1</v>
      </c>
      <c r="Y52" s="8" t="s"/>
      <c r="Z52" s="5" t="s"/>
    </row>
    <row r="53" spans="1:26">
      <c r="A53" s="9" t="str">
        <f>=样本清单!A53</f>
        <v>M2_P3_07</v>
      </c>
      <c r="B53" s="9" t="str">
        <f>=样本清单!B53</f>
        <v>M2</v>
      </c>
      <c r="C53" s="9" t="str">
        <f>=样本清单!C53</f>
        <v>gemini-3.1-flash-image</v>
      </c>
      <c r="D53" s="9" t="str">
        <f>=样本清单!D53</f>
        <v>P3</v>
      </c>
      <c r="E53" s="9">
        <f>=样本清单!F53</f>
        <v>7</v>
      </c>
      <c r="F53" s="8">
        <v>1</v>
      </c>
      <c r="G53" s="8">
        <v>1</v>
      </c>
      <c r="H53" s="8">
        <v>2</v>
      </c>
      <c r="I53" s="8">
        <v>2</v>
      </c>
      <c r="J53" s="8">
        <v>0</v>
      </c>
      <c r="K53" s="8">
        <v>2</v>
      </c>
      <c r="L53" s="8">
        <v>2</v>
      </c>
      <c r="M53" s="8">
        <v>2</v>
      </c>
      <c r="N53" s="8">
        <v>1</v>
      </c>
      <c r="O53" s="8">
        <v>1</v>
      </c>
      <c r="P53" s="8">
        <v>0</v>
      </c>
      <c r="Q53" s="8">
        <v>0</v>
      </c>
      <c r="R53" s="8">
        <v>2</v>
      </c>
      <c r="S53" s="8">
        <v>0</v>
      </c>
      <c r="T53" s="8">
        <v>0</v>
      </c>
      <c r="U53" s="8">
        <v>0</v>
      </c>
      <c r="V53" s="8">
        <v>1</v>
      </c>
      <c r="W53" s="8">
        <v>1</v>
      </c>
      <c r="X53" s="8">
        <v>1</v>
      </c>
      <c r="Y53" s="8" t="s"/>
      <c r="Z53" s="5" t="s"/>
    </row>
    <row r="54" spans="1:26">
      <c r="A54" s="9" t="str">
        <f>=样本清单!A54</f>
        <v>M2_P3_08</v>
      </c>
      <c r="B54" s="9" t="str">
        <f>=样本清单!B54</f>
        <v>M2</v>
      </c>
      <c r="C54" s="9" t="str">
        <f>=样本清单!C54</f>
        <v>gemini-3.1-flash-image</v>
      </c>
      <c r="D54" s="9" t="str">
        <f>=样本清单!D54</f>
        <v>P3</v>
      </c>
      <c r="E54" s="9">
        <f>=样本清单!F54</f>
        <v>8</v>
      </c>
      <c r="F54" s="8">
        <v>1</v>
      </c>
      <c r="G54" s="8">
        <v>2</v>
      </c>
      <c r="H54" s="8">
        <v>2</v>
      </c>
      <c r="I54" s="8">
        <v>1</v>
      </c>
      <c r="J54" s="8">
        <v>2</v>
      </c>
      <c r="K54" s="8">
        <v>0</v>
      </c>
      <c r="L54" s="8">
        <v>0</v>
      </c>
      <c r="M54" s="8">
        <v>1</v>
      </c>
      <c r="N54" s="8">
        <v>2</v>
      </c>
      <c r="O54" s="8">
        <v>2</v>
      </c>
      <c r="P54" s="8">
        <v>0</v>
      </c>
      <c r="Q54" s="8">
        <v>0</v>
      </c>
      <c r="R54" s="8">
        <v>0</v>
      </c>
      <c r="S54" s="8">
        <v>1</v>
      </c>
      <c r="T54" s="8">
        <v>2</v>
      </c>
      <c r="U54" s="8">
        <v>0</v>
      </c>
      <c r="V54" s="8">
        <v>1</v>
      </c>
      <c r="W54" s="8">
        <v>2</v>
      </c>
      <c r="X54" s="8">
        <v>1</v>
      </c>
      <c r="Y54" s="8" t="s"/>
      <c r="Z54" s="5" t="s"/>
    </row>
    <row r="55" spans="1:26">
      <c r="A55" s="9" t="str">
        <f>=样本清单!A55</f>
        <v>M2_P3_09</v>
      </c>
      <c r="B55" s="9" t="str">
        <f>=样本清单!B55</f>
        <v>M2</v>
      </c>
      <c r="C55" s="9" t="str">
        <f>=样本清单!C55</f>
        <v>gemini-3.1-flash-image</v>
      </c>
      <c r="D55" s="9" t="str">
        <f>=样本清单!D55</f>
        <v>P3</v>
      </c>
      <c r="E55" s="9">
        <f>=样本清单!F55</f>
        <v>9</v>
      </c>
      <c r="F55" s="8">
        <v>1</v>
      </c>
      <c r="G55" s="8">
        <v>1</v>
      </c>
      <c r="H55" s="8">
        <v>2</v>
      </c>
      <c r="I55" s="8">
        <v>1</v>
      </c>
      <c r="J55" s="8">
        <v>2</v>
      </c>
      <c r="K55" s="8">
        <v>2</v>
      </c>
      <c r="L55" s="8">
        <v>1</v>
      </c>
      <c r="M55" s="8">
        <v>2</v>
      </c>
      <c r="N55" s="8">
        <v>2</v>
      </c>
      <c r="O55" s="8">
        <v>0</v>
      </c>
      <c r="P55" s="8">
        <v>0</v>
      </c>
      <c r="Q55" s="8">
        <v>0</v>
      </c>
      <c r="R55" s="8">
        <v>1</v>
      </c>
      <c r="S55" s="8">
        <v>2</v>
      </c>
      <c r="T55" s="8">
        <v>2</v>
      </c>
      <c r="U55" s="8">
        <v>0</v>
      </c>
      <c r="V55" s="8">
        <v>1</v>
      </c>
      <c r="W55" s="8">
        <v>2</v>
      </c>
      <c r="X55" s="8">
        <v>1</v>
      </c>
      <c r="Y55" s="8" t="s"/>
      <c r="Z55" s="5" t="s"/>
    </row>
    <row r="56" spans="1:26">
      <c r="A56" s="9" t="str">
        <f>=样本清单!A56</f>
        <v>M3_P1_01</v>
      </c>
      <c r="B56" s="9" t="str">
        <f>=样本清单!B56</f>
        <v>M3</v>
      </c>
      <c r="C56" s="9" t="str">
        <f>=样本清单!C56</f>
        <v>MAI-Image-2.5-Pro</v>
      </c>
      <c r="D56" s="9" t="str">
        <f>=样本清单!D56</f>
        <v>P1</v>
      </c>
      <c r="E56" s="9">
        <f>=样本清单!F56</f>
        <v>1</v>
      </c>
      <c r="F56" s="8">
        <v>2</v>
      </c>
      <c r="G56" s="8">
        <v>2</v>
      </c>
      <c r="H56" s="8">
        <v>2</v>
      </c>
      <c r="I56" s="8">
        <v>0</v>
      </c>
      <c r="J56" s="8">
        <v>2</v>
      </c>
      <c r="K56" s="8">
        <v>2</v>
      </c>
      <c r="L56" s="8">
        <v>2</v>
      </c>
      <c r="M56" s="8">
        <v>2</v>
      </c>
      <c r="N56" s="8" t="s">
        <v>607</v>
      </c>
      <c r="O56" s="8">
        <v>2</v>
      </c>
      <c r="P56" s="8">
        <v>0</v>
      </c>
      <c r="Q56" s="8">
        <v>0</v>
      </c>
      <c r="R56" s="8">
        <v>0</v>
      </c>
      <c r="S56" s="8">
        <v>2</v>
      </c>
      <c r="T56" s="8">
        <v>1</v>
      </c>
      <c r="U56" s="8">
        <v>2</v>
      </c>
      <c r="V56" s="8">
        <v>1</v>
      </c>
      <c r="W56" s="8">
        <v>2</v>
      </c>
      <c r="X56" s="8">
        <v>2</v>
      </c>
      <c r="Y56" s="8" t="s"/>
      <c r="Z56" s="5" t="s"/>
    </row>
    <row r="57" spans="1:26">
      <c r="A57" s="9" t="str">
        <f>=样本清单!A57</f>
        <v>M3_P1_02</v>
      </c>
      <c r="B57" s="9" t="str">
        <f>=样本清单!B57</f>
        <v>M3</v>
      </c>
      <c r="C57" s="9" t="str">
        <f>=样本清单!C57</f>
        <v>MAI-Image-2.5-Pro</v>
      </c>
      <c r="D57" s="9" t="str">
        <f>=样本清单!D57</f>
        <v>P1</v>
      </c>
      <c r="E57" s="9">
        <f>=样本清单!F57</f>
        <v>2</v>
      </c>
      <c r="F57" s="8">
        <v>2</v>
      </c>
      <c r="G57" s="8">
        <v>2</v>
      </c>
      <c r="H57" s="8">
        <v>2</v>
      </c>
      <c r="I57" s="8">
        <v>1</v>
      </c>
      <c r="J57" s="8">
        <v>1</v>
      </c>
      <c r="K57" s="8">
        <v>2</v>
      </c>
      <c r="L57" s="8">
        <v>2</v>
      </c>
      <c r="M57" s="8">
        <v>2</v>
      </c>
      <c r="N57" s="8" t="s">
        <v>607</v>
      </c>
      <c r="O57" s="8">
        <v>2</v>
      </c>
      <c r="P57" s="8">
        <v>0</v>
      </c>
      <c r="Q57" s="8">
        <v>0</v>
      </c>
      <c r="R57" s="8">
        <v>0</v>
      </c>
      <c r="S57" s="8">
        <v>2</v>
      </c>
      <c r="T57" s="8">
        <v>1</v>
      </c>
      <c r="U57" s="8">
        <v>1</v>
      </c>
      <c r="V57" s="8">
        <v>1</v>
      </c>
      <c r="W57" s="8">
        <v>2</v>
      </c>
      <c r="X57" s="8">
        <v>2</v>
      </c>
      <c r="Y57" s="8" t="s"/>
      <c r="Z57" s="5" t="s"/>
    </row>
    <row r="58" spans="1:26">
      <c r="A58" s="9" t="str">
        <f>=样本清单!A58</f>
        <v>M3_P1_03</v>
      </c>
      <c r="B58" s="9" t="str">
        <f>=样本清单!B58</f>
        <v>M3</v>
      </c>
      <c r="C58" s="9" t="str">
        <f>=样本清单!C58</f>
        <v>MAI-Image-2.5-Pro</v>
      </c>
      <c r="D58" s="9" t="str">
        <f>=样本清单!D58</f>
        <v>P1</v>
      </c>
      <c r="E58" s="9">
        <f>=样本清单!F58</f>
        <v>3</v>
      </c>
      <c r="F58" s="8">
        <v>2</v>
      </c>
      <c r="G58" s="8">
        <v>2</v>
      </c>
      <c r="H58" s="8">
        <v>2</v>
      </c>
      <c r="I58" s="8">
        <v>0</v>
      </c>
      <c r="J58" s="8">
        <v>1</v>
      </c>
      <c r="K58" s="8">
        <v>2</v>
      </c>
      <c r="L58" s="8">
        <v>2</v>
      </c>
      <c r="M58" s="8">
        <v>1</v>
      </c>
      <c r="N58" s="8" t="s">
        <v>607</v>
      </c>
      <c r="O58" s="8">
        <v>2</v>
      </c>
      <c r="P58" s="8">
        <v>0</v>
      </c>
      <c r="Q58" s="8">
        <v>0</v>
      </c>
      <c r="R58" s="8">
        <v>0</v>
      </c>
      <c r="S58" s="8">
        <v>1</v>
      </c>
      <c r="T58" s="8">
        <v>1</v>
      </c>
      <c r="U58" s="8">
        <v>1</v>
      </c>
      <c r="V58" s="8">
        <v>2</v>
      </c>
      <c r="W58" s="8">
        <v>2</v>
      </c>
      <c r="X58" s="8">
        <v>2</v>
      </c>
      <c r="Y58" s="8" t="s"/>
      <c r="Z58" s="5" t="s"/>
    </row>
    <row r="59" spans="1:26">
      <c r="A59" s="9" t="str">
        <f>=样本清单!A59</f>
        <v>M3_P1_04</v>
      </c>
      <c r="B59" s="9" t="str">
        <f>=样本清单!B59</f>
        <v>M3</v>
      </c>
      <c r="C59" s="9" t="str">
        <f>=样本清单!C59</f>
        <v>MAI-Image-2.5-Pro</v>
      </c>
      <c r="D59" s="9" t="str">
        <f>=样本清单!D59</f>
        <v>P1</v>
      </c>
      <c r="E59" s="9">
        <f>=样本清单!F59</f>
        <v>4</v>
      </c>
      <c r="F59" s="8">
        <v>2</v>
      </c>
      <c r="G59" s="8">
        <v>2</v>
      </c>
      <c r="H59" s="8">
        <v>2</v>
      </c>
      <c r="I59" s="8">
        <v>0</v>
      </c>
      <c r="J59" s="8">
        <v>1</v>
      </c>
      <c r="K59" s="8">
        <v>2</v>
      </c>
      <c r="L59" s="8">
        <v>2</v>
      </c>
      <c r="M59" s="8">
        <v>1</v>
      </c>
      <c r="N59" s="8" t="s">
        <v>607</v>
      </c>
      <c r="O59" s="8">
        <v>2</v>
      </c>
      <c r="P59" s="8">
        <v>0</v>
      </c>
      <c r="Q59" s="8">
        <v>0</v>
      </c>
      <c r="R59" s="8">
        <v>0</v>
      </c>
      <c r="S59" s="8">
        <v>2</v>
      </c>
      <c r="T59" s="8">
        <v>2</v>
      </c>
      <c r="U59" s="8">
        <v>2</v>
      </c>
      <c r="V59" s="8">
        <v>1</v>
      </c>
      <c r="W59" s="8">
        <v>2</v>
      </c>
      <c r="X59" s="8">
        <v>2</v>
      </c>
      <c r="Y59" s="8" t="s"/>
      <c r="Z59" s="5" t="s"/>
    </row>
    <row r="60" spans="1:26">
      <c r="A60" s="9" t="str">
        <f>=样本清单!A60</f>
        <v>M3_P1_05</v>
      </c>
      <c r="B60" s="9" t="str">
        <f>=样本清单!B60</f>
        <v>M3</v>
      </c>
      <c r="C60" s="9" t="str">
        <f>=样本清单!C60</f>
        <v>MAI-Image-2.5-Pro</v>
      </c>
      <c r="D60" s="9" t="str">
        <f>=样本清单!D60</f>
        <v>P1</v>
      </c>
      <c r="E60" s="9">
        <f>=样本清单!F60</f>
        <v>5</v>
      </c>
      <c r="F60" s="8">
        <v>2</v>
      </c>
      <c r="G60" s="8">
        <v>2</v>
      </c>
      <c r="H60" s="8">
        <v>2</v>
      </c>
      <c r="I60" s="8">
        <v>0</v>
      </c>
      <c r="J60" s="8">
        <v>2</v>
      </c>
      <c r="K60" s="8">
        <v>2</v>
      </c>
      <c r="L60" s="8">
        <v>2</v>
      </c>
      <c r="M60" s="8">
        <v>2</v>
      </c>
      <c r="N60" s="8" t="s">
        <v>607</v>
      </c>
      <c r="O60" s="8">
        <v>2</v>
      </c>
      <c r="P60" s="8">
        <v>0</v>
      </c>
      <c r="Q60" s="8">
        <v>0</v>
      </c>
      <c r="R60" s="8">
        <v>0</v>
      </c>
      <c r="S60" s="8">
        <v>2</v>
      </c>
      <c r="T60" s="8">
        <v>2</v>
      </c>
      <c r="U60" s="8">
        <v>2</v>
      </c>
      <c r="V60" s="8">
        <v>2</v>
      </c>
      <c r="W60" s="8">
        <v>2</v>
      </c>
      <c r="X60" s="8">
        <v>2</v>
      </c>
      <c r="Y60" s="8" t="s"/>
      <c r="Z60" s="5" t="s"/>
    </row>
    <row r="61" spans="1:26">
      <c r="A61" s="9" t="str">
        <f>=样本清单!A61</f>
        <v>M3_P1_06</v>
      </c>
      <c r="B61" s="9" t="str">
        <f>=样本清单!B61</f>
        <v>M3</v>
      </c>
      <c r="C61" s="9" t="str">
        <f>=样本清单!C61</f>
        <v>MAI-Image-2.5-Pro</v>
      </c>
      <c r="D61" s="9" t="str">
        <f>=样本清单!D61</f>
        <v>P1</v>
      </c>
      <c r="E61" s="9">
        <f>=样本清单!F61</f>
        <v>6</v>
      </c>
      <c r="F61" s="8">
        <v>2</v>
      </c>
      <c r="G61" s="8">
        <v>2</v>
      </c>
      <c r="H61" s="8">
        <v>2</v>
      </c>
      <c r="I61" s="8">
        <v>0</v>
      </c>
      <c r="J61" s="8">
        <v>1</v>
      </c>
      <c r="K61" s="8">
        <v>2</v>
      </c>
      <c r="L61" s="8">
        <v>2</v>
      </c>
      <c r="M61" s="8">
        <v>1</v>
      </c>
      <c r="N61" s="8" t="s">
        <v>607</v>
      </c>
      <c r="O61" s="8">
        <v>2</v>
      </c>
      <c r="P61" s="8">
        <v>0</v>
      </c>
      <c r="Q61" s="8">
        <v>0</v>
      </c>
      <c r="R61" s="8">
        <v>0</v>
      </c>
      <c r="S61" s="8">
        <v>2</v>
      </c>
      <c r="T61" s="8">
        <v>1</v>
      </c>
      <c r="U61" s="8">
        <v>1</v>
      </c>
      <c r="V61" s="8">
        <v>2</v>
      </c>
      <c r="W61" s="8">
        <v>2</v>
      </c>
      <c r="X61" s="8">
        <v>2</v>
      </c>
      <c r="Y61" s="8" t="s"/>
      <c r="Z61" s="5" t="s"/>
    </row>
    <row r="62" spans="1:26">
      <c r="A62" s="9" t="str">
        <f>=样本清单!A62</f>
        <v>M3_P1_07</v>
      </c>
      <c r="B62" s="9" t="str">
        <f>=样本清单!B62</f>
        <v>M3</v>
      </c>
      <c r="C62" s="9" t="str">
        <f>=样本清单!C62</f>
        <v>MAI-Image-2.5-Pro</v>
      </c>
      <c r="D62" s="9" t="str">
        <f>=样本清单!D62</f>
        <v>P1</v>
      </c>
      <c r="E62" s="9">
        <f>=样本清单!F62</f>
        <v>7</v>
      </c>
      <c r="F62" s="8">
        <v>2</v>
      </c>
      <c r="G62" s="8">
        <v>2</v>
      </c>
      <c r="H62" s="8">
        <v>2</v>
      </c>
      <c r="I62" s="8">
        <v>1</v>
      </c>
      <c r="J62" s="8">
        <v>1</v>
      </c>
      <c r="K62" s="8">
        <v>2</v>
      </c>
      <c r="L62" s="8">
        <v>2</v>
      </c>
      <c r="M62" s="8">
        <v>2</v>
      </c>
      <c r="N62" s="8" t="s">
        <v>607</v>
      </c>
      <c r="O62" s="8">
        <v>2</v>
      </c>
      <c r="P62" s="8">
        <v>1</v>
      </c>
      <c r="Q62" s="8">
        <v>2</v>
      </c>
      <c r="R62" s="8">
        <v>0</v>
      </c>
      <c r="S62" s="8">
        <v>2</v>
      </c>
      <c r="T62" s="8">
        <v>2</v>
      </c>
      <c r="U62" s="8">
        <v>1</v>
      </c>
      <c r="V62" s="8">
        <v>1</v>
      </c>
      <c r="W62" s="8">
        <v>2</v>
      </c>
      <c r="X62" s="8">
        <v>2</v>
      </c>
      <c r="Y62" s="8" t="s"/>
      <c r="Z62" s="5" t="s"/>
    </row>
    <row r="63" spans="1:26">
      <c r="A63" s="9" t="str">
        <f>=样本清单!A63</f>
        <v>M3_P1_08</v>
      </c>
      <c r="B63" s="9" t="str">
        <f>=样本清单!B63</f>
        <v>M3</v>
      </c>
      <c r="C63" s="9" t="str">
        <f>=样本清单!C63</f>
        <v>MAI-Image-2.5-Pro</v>
      </c>
      <c r="D63" s="9" t="str">
        <f>=样本清单!D63</f>
        <v>P1</v>
      </c>
      <c r="E63" s="9">
        <f>=样本清单!F63</f>
        <v>8</v>
      </c>
      <c r="F63" s="8">
        <v>2</v>
      </c>
      <c r="G63" s="8">
        <v>1</v>
      </c>
      <c r="H63" s="8">
        <v>2</v>
      </c>
      <c r="I63" s="8">
        <v>0</v>
      </c>
      <c r="J63" s="8">
        <v>2</v>
      </c>
      <c r="K63" s="8">
        <v>2</v>
      </c>
      <c r="L63" s="8">
        <v>2</v>
      </c>
      <c r="M63" s="8">
        <v>1</v>
      </c>
      <c r="N63" s="8" t="s">
        <v>607</v>
      </c>
      <c r="O63" s="8">
        <v>2</v>
      </c>
      <c r="P63" s="8">
        <v>0</v>
      </c>
      <c r="Q63" s="8">
        <v>0</v>
      </c>
      <c r="R63" s="8">
        <v>0</v>
      </c>
      <c r="S63" s="8">
        <v>2</v>
      </c>
      <c r="T63" s="8">
        <v>2</v>
      </c>
      <c r="U63" s="8">
        <v>1</v>
      </c>
      <c r="V63" s="8">
        <v>2</v>
      </c>
      <c r="W63" s="8">
        <v>2</v>
      </c>
      <c r="X63" s="8">
        <v>2</v>
      </c>
      <c r="Y63" s="8" t="s"/>
      <c r="Z63" s="5" t="s"/>
    </row>
    <row r="64" spans="1:26">
      <c r="A64" s="9" t="str">
        <f>=样本清单!A64</f>
        <v>M3_P1_09</v>
      </c>
      <c r="B64" s="9" t="str">
        <f>=样本清单!B64</f>
        <v>M3</v>
      </c>
      <c r="C64" s="9" t="str">
        <f>=样本清单!C64</f>
        <v>MAI-Image-2.5-Pro</v>
      </c>
      <c r="D64" s="9" t="str">
        <f>=样本清单!D64</f>
        <v>P1</v>
      </c>
      <c r="E64" s="9">
        <f>=样本清单!F64</f>
        <v>9</v>
      </c>
      <c r="F64" s="8">
        <v>2</v>
      </c>
      <c r="G64" s="8">
        <v>2</v>
      </c>
      <c r="H64" s="8">
        <v>2</v>
      </c>
      <c r="I64" s="8">
        <v>1</v>
      </c>
      <c r="J64" s="8">
        <v>2</v>
      </c>
      <c r="K64" s="8">
        <v>2</v>
      </c>
      <c r="L64" s="8">
        <v>2</v>
      </c>
      <c r="M64" s="8">
        <v>2</v>
      </c>
      <c r="N64" s="8" t="s">
        <v>607</v>
      </c>
      <c r="O64" s="8">
        <v>2</v>
      </c>
      <c r="P64" s="8">
        <v>0</v>
      </c>
      <c r="Q64" s="8">
        <v>0</v>
      </c>
      <c r="R64" s="8">
        <v>0</v>
      </c>
      <c r="S64" s="8">
        <v>2</v>
      </c>
      <c r="T64" s="8">
        <v>1</v>
      </c>
      <c r="U64" s="8">
        <v>1</v>
      </c>
      <c r="V64" s="8">
        <v>1</v>
      </c>
      <c r="W64" s="8">
        <v>2</v>
      </c>
      <c r="X64" s="8">
        <v>2</v>
      </c>
      <c r="Y64" s="8" t="s"/>
      <c r="Z64" s="5" t="s"/>
    </row>
    <row r="65" spans="1:26">
      <c r="A65" s="9" t="str">
        <f>=样本清单!A65</f>
        <v>M3_P2_01</v>
      </c>
      <c r="B65" s="9" t="str">
        <f>=样本清单!B65</f>
        <v>M3</v>
      </c>
      <c r="C65" s="9" t="str">
        <f>=样本清单!C65</f>
        <v>MAI-Image-2.5-Pro</v>
      </c>
      <c r="D65" s="9" t="str">
        <f>=样本清单!D65</f>
        <v>P2</v>
      </c>
      <c r="E65" s="9">
        <f>=样本清单!F65</f>
        <v>1</v>
      </c>
      <c r="F65" s="8">
        <v>1</v>
      </c>
      <c r="G65" s="8">
        <v>2</v>
      </c>
      <c r="H65" s="8">
        <v>2</v>
      </c>
      <c r="I65" s="8">
        <v>0</v>
      </c>
      <c r="J65" s="8">
        <v>2</v>
      </c>
      <c r="K65" s="8">
        <v>2</v>
      </c>
      <c r="L65" s="8">
        <v>2</v>
      </c>
      <c r="M65" s="8">
        <v>2</v>
      </c>
      <c r="N65" s="8" t="s">
        <v>607</v>
      </c>
      <c r="O65" s="8">
        <v>2</v>
      </c>
      <c r="P65" s="8">
        <v>0</v>
      </c>
      <c r="Q65" s="8">
        <v>1</v>
      </c>
      <c r="R65" s="8">
        <v>0</v>
      </c>
      <c r="S65" s="8">
        <v>2</v>
      </c>
      <c r="T65" s="8">
        <v>1</v>
      </c>
      <c r="U65" s="8">
        <v>2</v>
      </c>
      <c r="V65" s="8">
        <v>2</v>
      </c>
      <c r="W65" s="8">
        <v>2</v>
      </c>
      <c r="X65" s="8">
        <v>2</v>
      </c>
      <c r="Y65" s="8" t="s"/>
      <c r="Z65" s="5" t="s"/>
    </row>
    <row r="66" spans="1:26">
      <c r="A66" s="9" t="str">
        <f>=样本清单!A66</f>
        <v>M3_P2_02</v>
      </c>
      <c r="B66" s="9" t="str">
        <f>=样本清单!B66</f>
        <v>M3</v>
      </c>
      <c r="C66" s="9" t="str">
        <f>=样本清单!C66</f>
        <v>MAI-Image-2.5-Pro</v>
      </c>
      <c r="D66" s="9" t="str">
        <f>=样本清单!D66</f>
        <v>P2</v>
      </c>
      <c r="E66" s="9">
        <f>=样本清单!F66</f>
        <v>2</v>
      </c>
      <c r="F66" s="8">
        <v>2</v>
      </c>
      <c r="G66" s="8">
        <v>1</v>
      </c>
      <c r="H66" s="8">
        <v>2</v>
      </c>
      <c r="I66" s="8">
        <v>0</v>
      </c>
      <c r="J66" s="8">
        <v>1</v>
      </c>
      <c r="K66" s="8">
        <v>2</v>
      </c>
      <c r="L66" s="8">
        <v>2</v>
      </c>
      <c r="M66" s="8">
        <v>2</v>
      </c>
      <c r="N66" s="8" t="s">
        <v>607</v>
      </c>
      <c r="O66" s="8">
        <v>2</v>
      </c>
      <c r="P66" s="8">
        <v>0</v>
      </c>
      <c r="Q66" s="8">
        <v>0</v>
      </c>
      <c r="R66" s="8">
        <v>0</v>
      </c>
      <c r="S66" s="8">
        <v>2</v>
      </c>
      <c r="T66" s="8">
        <v>1</v>
      </c>
      <c r="U66" s="8">
        <v>2</v>
      </c>
      <c r="V66" s="8">
        <v>2</v>
      </c>
      <c r="W66" s="8">
        <v>2</v>
      </c>
      <c r="X66" s="8">
        <v>2</v>
      </c>
      <c r="Y66" s="8" t="s"/>
      <c r="Z66" s="5" t="s"/>
    </row>
    <row r="67" spans="1:26">
      <c r="A67" s="9" t="str">
        <f>=样本清单!A67</f>
        <v>M3_P2_03</v>
      </c>
      <c r="B67" s="9" t="str">
        <f>=样本清单!B67</f>
        <v>M3</v>
      </c>
      <c r="C67" s="9" t="str">
        <f>=样本清单!C67</f>
        <v>MAI-Image-2.5-Pro</v>
      </c>
      <c r="D67" s="9" t="str">
        <f>=样本清单!D67</f>
        <v>P2</v>
      </c>
      <c r="E67" s="9">
        <f>=样本清单!F67</f>
        <v>3</v>
      </c>
      <c r="F67" s="8">
        <v>2</v>
      </c>
      <c r="G67" s="8">
        <v>2</v>
      </c>
      <c r="H67" s="8">
        <v>2</v>
      </c>
      <c r="I67" s="8">
        <v>1</v>
      </c>
      <c r="J67" s="8">
        <v>1</v>
      </c>
      <c r="K67" s="8">
        <v>2</v>
      </c>
      <c r="L67" s="8">
        <v>2</v>
      </c>
      <c r="M67" s="8">
        <v>2</v>
      </c>
      <c r="N67" s="8" t="s">
        <v>607</v>
      </c>
      <c r="O67" s="8">
        <v>2</v>
      </c>
      <c r="P67" s="8">
        <v>2</v>
      </c>
      <c r="Q67" s="8">
        <v>2</v>
      </c>
      <c r="R67" s="8">
        <v>0</v>
      </c>
      <c r="S67" s="8">
        <v>2</v>
      </c>
      <c r="T67" s="8">
        <v>1</v>
      </c>
      <c r="U67" s="8">
        <v>2</v>
      </c>
      <c r="V67" s="8">
        <v>2</v>
      </c>
      <c r="W67" s="8">
        <v>2</v>
      </c>
      <c r="X67" s="8">
        <v>2</v>
      </c>
      <c r="Y67" s="8" t="s"/>
      <c r="Z67" s="5" t="s"/>
    </row>
    <row r="68" spans="1:26">
      <c r="A68" s="9" t="str">
        <f>=样本清单!A68</f>
        <v>M3_P2_04</v>
      </c>
      <c r="B68" s="9" t="str">
        <f>=样本清单!B68</f>
        <v>M3</v>
      </c>
      <c r="C68" s="9" t="str">
        <f>=样本清单!C68</f>
        <v>MAI-Image-2.5-Pro</v>
      </c>
      <c r="D68" s="9" t="str">
        <f>=样本清单!D68</f>
        <v>P2</v>
      </c>
      <c r="E68" s="9">
        <f>=样本清单!F68</f>
        <v>4</v>
      </c>
      <c r="F68" s="8">
        <v>2</v>
      </c>
      <c r="G68" s="8">
        <v>1</v>
      </c>
      <c r="H68" s="8">
        <v>2</v>
      </c>
      <c r="I68" s="8">
        <v>1</v>
      </c>
      <c r="J68" s="8">
        <v>2</v>
      </c>
      <c r="K68" s="8">
        <v>2</v>
      </c>
      <c r="L68" s="8">
        <v>2</v>
      </c>
      <c r="M68" s="8">
        <v>2</v>
      </c>
      <c r="N68" s="8" t="s">
        <v>607</v>
      </c>
      <c r="O68" s="8">
        <v>2</v>
      </c>
      <c r="P68" s="8">
        <v>0</v>
      </c>
      <c r="Q68" s="8">
        <v>1</v>
      </c>
      <c r="R68" s="8">
        <v>0</v>
      </c>
      <c r="S68" s="8">
        <v>2</v>
      </c>
      <c r="T68" s="8">
        <v>2</v>
      </c>
      <c r="U68" s="8">
        <v>2</v>
      </c>
      <c r="V68" s="8">
        <v>2</v>
      </c>
      <c r="W68" s="8">
        <v>2</v>
      </c>
      <c r="X68" s="8">
        <v>2</v>
      </c>
      <c r="Y68" s="8" t="s"/>
      <c r="Z68" s="5" t="s"/>
    </row>
    <row r="69" spans="1:26">
      <c r="A69" s="9" t="str">
        <f>=样本清单!A69</f>
        <v>M3_P2_05</v>
      </c>
      <c r="B69" s="9" t="str">
        <f>=样本清单!B69</f>
        <v>M3</v>
      </c>
      <c r="C69" s="9" t="str">
        <f>=样本清单!C69</f>
        <v>MAI-Image-2.5-Pro</v>
      </c>
      <c r="D69" s="9" t="str">
        <f>=样本清单!D69</f>
        <v>P2</v>
      </c>
      <c r="E69" s="9">
        <f>=样本清单!F69</f>
        <v>5</v>
      </c>
      <c r="F69" s="8">
        <v>2</v>
      </c>
      <c r="G69" s="8">
        <v>2</v>
      </c>
      <c r="H69" s="8">
        <v>2</v>
      </c>
      <c r="I69" s="8">
        <v>1</v>
      </c>
      <c r="J69" s="8">
        <v>0</v>
      </c>
      <c r="K69" s="8">
        <v>2</v>
      </c>
      <c r="L69" s="8">
        <v>2</v>
      </c>
      <c r="M69" s="8">
        <v>2</v>
      </c>
      <c r="N69" s="8" t="s">
        <v>607</v>
      </c>
      <c r="O69" s="8">
        <v>2</v>
      </c>
      <c r="P69" s="8">
        <v>1</v>
      </c>
      <c r="Q69" s="8">
        <v>1</v>
      </c>
      <c r="R69" s="8">
        <v>0</v>
      </c>
      <c r="S69" s="8">
        <v>2</v>
      </c>
      <c r="T69" s="8">
        <v>1</v>
      </c>
      <c r="U69" s="8">
        <v>2</v>
      </c>
      <c r="V69" s="8">
        <v>2</v>
      </c>
      <c r="W69" s="8">
        <v>2</v>
      </c>
      <c r="X69" s="8">
        <v>2</v>
      </c>
      <c r="Y69" s="8" t="s"/>
      <c r="Z69" s="5" t="s"/>
    </row>
    <row r="70" spans="1:26">
      <c r="A70" s="9" t="str">
        <f>=样本清单!A70</f>
        <v>M3_P2_06</v>
      </c>
      <c r="B70" s="9" t="str">
        <f>=样本清单!B70</f>
        <v>M3</v>
      </c>
      <c r="C70" s="9" t="str">
        <f>=样本清单!C70</f>
        <v>MAI-Image-2.5-Pro</v>
      </c>
      <c r="D70" s="9" t="str">
        <f>=样本清单!D70</f>
        <v>P2</v>
      </c>
      <c r="E70" s="9">
        <f>=样本清单!F70</f>
        <v>6</v>
      </c>
      <c r="F70" s="8">
        <v>2</v>
      </c>
      <c r="G70" s="8">
        <v>0</v>
      </c>
      <c r="H70" s="8">
        <v>2</v>
      </c>
      <c r="I70" s="8">
        <v>1</v>
      </c>
      <c r="J70" s="8">
        <v>2</v>
      </c>
      <c r="K70" s="8">
        <v>2</v>
      </c>
      <c r="L70" s="8">
        <v>2</v>
      </c>
      <c r="M70" s="8">
        <v>2</v>
      </c>
      <c r="N70" s="8" t="s">
        <v>607</v>
      </c>
      <c r="O70" s="8">
        <v>2</v>
      </c>
      <c r="P70" s="8">
        <v>0</v>
      </c>
      <c r="Q70" s="8">
        <v>1</v>
      </c>
      <c r="R70" s="8">
        <v>0</v>
      </c>
      <c r="S70" s="8">
        <v>2</v>
      </c>
      <c r="T70" s="8">
        <v>2</v>
      </c>
      <c r="U70" s="8">
        <v>2</v>
      </c>
      <c r="V70" s="8">
        <v>2</v>
      </c>
      <c r="W70" s="8">
        <v>2</v>
      </c>
      <c r="X70" s="8">
        <v>2</v>
      </c>
      <c r="Y70" s="8" t="s"/>
      <c r="Z70" s="5" t="s"/>
    </row>
    <row r="71" spans="1:26">
      <c r="A71" s="9" t="str">
        <f>=样本清单!A71</f>
        <v>M3_P2_07</v>
      </c>
      <c r="B71" s="9" t="str">
        <f>=样本清单!B71</f>
        <v>M3</v>
      </c>
      <c r="C71" s="9" t="str">
        <f>=样本清单!C71</f>
        <v>MAI-Image-2.5-Pro</v>
      </c>
      <c r="D71" s="9" t="str">
        <f>=样本清单!D71</f>
        <v>P2</v>
      </c>
      <c r="E71" s="9">
        <f>=样本清单!F71</f>
        <v>7</v>
      </c>
      <c r="F71" s="8">
        <v>2</v>
      </c>
      <c r="G71" s="8">
        <v>1</v>
      </c>
      <c r="H71" s="8">
        <v>2</v>
      </c>
      <c r="I71" s="8">
        <v>0</v>
      </c>
      <c r="J71" s="8">
        <v>1</v>
      </c>
      <c r="K71" s="8">
        <v>2</v>
      </c>
      <c r="L71" s="8">
        <v>2</v>
      </c>
      <c r="M71" s="8">
        <v>2</v>
      </c>
      <c r="N71" s="8" t="s">
        <v>607</v>
      </c>
      <c r="O71" s="8">
        <v>2</v>
      </c>
      <c r="P71" s="8">
        <v>0</v>
      </c>
      <c r="Q71" s="8">
        <v>1</v>
      </c>
      <c r="R71" s="8">
        <v>0</v>
      </c>
      <c r="S71" s="8">
        <v>2</v>
      </c>
      <c r="T71" s="8">
        <v>1</v>
      </c>
      <c r="U71" s="8">
        <v>2</v>
      </c>
      <c r="V71" s="8">
        <v>2</v>
      </c>
      <c r="W71" s="8">
        <v>2</v>
      </c>
      <c r="X71" s="8">
        <v>2</v>
      </c>
      <c r="Y71" s="8" t="s"/>
      <c r="Z71" s="5" t="s"/>
    </row>
    <row r="72" spans="1:26">
      <c r="A72" s="9" t="str">
        <f>=样本清单!A72</f>
        <v>M3_P2_08</v>
      </c>
      <c r="B72" s="9" t="str">
        <f>=样本清单!B72</f>
        <v>M3</v>
      </c>
      <c r="C72" s="9" t="str">
        <f>=样本清单!C72</f>
        <v>MAI-Image-2.5-Pro</v>
      </c>
      <c r="D72" s="9" t="str">
        <f>=样本清单!D72</f>
        <v>P2</v>
      </c>
      <c r="E72" s="9">
        <f>=样本清单!F72</f>
        <v>8</v>
      </c>
      <c r="F72" s="8">
        <v>2</v>
      </c>
      <c r="G72" s="8">
        <v>2</v>
      </c>
      <c r="H72" s="8">
        <v>2</v>
      </c>
      <c r="I72" s="8">
        <v>1</v>
      </c>
      <c r="J72" s="8">
        <v>1</v>
      </c>
      <c r="K72" s="8">
        <v>2</v>
      </c>
      <c r="L72" s="8">
        <v>2</v>
      </c>
      <c r="M72" s="8">
        <v>2</v>
      </c>
      <c r="N72" s="8" t="s">
        <v>607</v>
      </c>
      <c r="O72" s="8">
        <v>2</v>
      </c>
      <c r="P72" s="8">
        <v>0</v>
      </c>
      <c r="Q72" s="8">
        <v>0</v>
      </c>
      <c r="R72" s="8">
        <v>0</v>
      </c>
      <c r="S72" s="8">
        <v>2</v>
      </c>
      <c r="T72" s="8">
        <v>1</v>
      </c>
      <c r="U72" s="8">
        <v>2</v>
      </c>
      <c r="V72" s="8">
        <v>2</v>
      </c>
      <c r="W72" s="8">
        <v>2</v>
      </c>
      <c r="X72" s="8">
        <v>2</v>
      </c>
      <c r="Y72" s="8" t="s"/>
      <c r="Z72" s="5" t="s"/>
    </row>
    <row r="73" spans="1:26">
      <c r="A73" s="9" t="str">
        <f>=样本清单!A73</f>
        <v>M3_P2_09</v>
      </c>
      <c r="B73" s="9" t="str">
        <f>=样本清单!B73</f>
        <v>M3</v>
      </c>
      <c r="C73" s="9" t="str">
        <f>=样本清单!C73</f>
        <v>MAI-Image-2.5-Pro</v>
      </c>
      <c r="D73" s="9" t="str">
        <f>=样本清单!D73</f>
        <v>P2</v>
      </c>
      <c r="E73" s="9">
        <f>=样本清单!F73</f>
        <v>9</v>
      </c>
      <c r="F73" s="8">
        <v>2</v>
      </c>
      <c r="G73" s="8">
        <v>2</v>
      </c>
      <c r="H73" s="8">
        <v>2</v>
      </c>
      <c r="I73" s="8">
        <v>1</v>
      </c>
      <c r="J73" s="8">
        <v>1</v>
      </c>
      <c r="K73" s="8">
        <v>2</v>
      </c>
      <c r="L73" s="8">
        <v>2</v>
      </c>
      <c r="M73" s="8">
        <v>2</v>
      </c>
      <c r="N73" s="8" t="s">
        <v>607</v>
      </c>
      <c r="O73" s="8">
        <v>2</v>
      </c>
      <c r="P73" s="8">
        <v>0</v>
      </c>
      <c r="Q73" s="8">
        <v>1</v>
      </c>
      <c r="R73" s="8">
        <v>0</v>
      </c>
      <c r="S73" s="8">
        <v>2</v>
      </c>
      <c r="T73" s="8">
        <v>1</v>
      </c>
      <c r="U73" s="8">
        <v>2</v>
      </c>
      <c r="V73" s="8">
        <v>2</v>
      </c>
      <c r="W73" s="8">
        <v>2</v>
      </c>
      <c r="X73" s="8">
        <v>2</v>
      </c>
      <c r="Y73" s="8" t="s"/>
      <c r="Z73" s="5" t="s"/>
    </row>
    <row r="74" spans="1:26">
      <c r="A74" s="9" t="str">
        <f>=样本清单!A74</f>
        <v>M3_P3_01</v>
      </c>
      <c r="B74" s="9" t="str">
        <f>=样本清单!B74</f>
        <v>M3</v>
      </c>
      <c r="C74" s="9" t="str">
        <f>=样本清单!C74</f>
        <v>MAI-Image-2.5-Pro</v>
      </c>
      <c r="D74" s="9" t="str">
        <f>=样本清单!D74</f>
        <v>P3</v>
      </c>
      <c r="E74" s="9">
        <f>=样本清单!F74</f>
        <v>1</v>
      </c>
      <c r="F74" s="8">
        <v>2</v>
      </c>
      <c r="G74" s="8">
        <v>2</v>
      </c>
      <c r="H74" s="8">
        <v>2</v>
      </c>
      <c r="I74" s="8">
        <v>1</v>
      </c>
      <c r="J74" s="8">
        <v>1</v>
      </c>
      <c r="K74" s="8">
        <v>2</v>
      </c>
      <c r="L74" s="8">
        <v>2</v>
      </c>
      <c r="M74" s="8">
        <v>2</v>
      </c>
      <c r="N74" s="8">
        <v>2</v>
      </c>
      <c r="O74" s="8">
        <v>2</v>
      </c>
      <c r="P74" s="8">
        <v>0</v>
      </c>
      <c r="Q74" s="8">
        <v>0</v>
      </c>
      <c r="R74" s="8">
        <v>1</v>
      </c>
      <c r="S74" s="8">
        <v>2</v>
      </c>
      <c r="T74" s="8">
        <v>2</v>
      </c>
      <c r="U74" s="8">
        <v>1</v>
      </c>
      <c r="V74" s="8">
        <v>2</v>
      </c>
      <c r="W74" s="8">
        <v>2</v>
      </c>
      <c r="X74" s="8">
        <v>2</v>
      </c>
      <c r="Y74" s="8" t="s"/>
      <c r="Z74" s="5" t="s"/>
    </row>
    <row r="75" spans="1:26">
      <c r="A75" s="9" t="str">
        <f>=样本清单!A75</f>
        <v>M3_P3_02</v>
      </c>
      <c r="B75" s="9" t="str">
        <f>=样本清单!B75</f>
        <v>M3</v>
      </c>
      <c r="C75" s="9" t="str">
        <f>=样本清单!C75</f>
        <v>MAI-Image-2.5-Pro</v>
      </c>
      <c r="D75" s="9" t="str">
        <f>=样本清单!D75</f>
        <v>P3</v>
      </c>
      <c r="E75" s="9">
        <f>=样本清单!F75</f>
        <v>2</v>
      </c>
      <c r="F75" s="8">
        <v>2</v>
      </c>
      <c r="G75" s="8">
        <v>2</v>
      </c>
      <c r="H75" s="8">
        <v>2</v>
      </c>
      <c r="I75" s="8">
        <v>0</v>
      </c>
      <c r="J75" s="8">
        <v>1</v>
      </c>
      <c r="K75" s="8">
        <v>2</v>
      </c>
      <c r="L75" s="8">
        <v>2</v>
      </c>
      <c r="M75" s="8">
        <v>2</v>
      </c>
      <c r="N75" s="8">
        <v>2</v>
      </c>
      <c r="O75" s="8">
        <v>2</v>
      </c>
      <c r="P75" s="8">
        <v>0</v>
      </c>
      <c r="Q75" s="8">
        <v>1</v>
      </c>
      <c r="R75" s="8">
        <v>1</v>
      </c>
      <c r="S75" s="8">
        <v>2</v>
      </c>
      <c r="T75" s="8">
        <v>2</v>
      </c>
      <c r="U75" s="8">
        <v>1</v>
      </c>
      <c r="V75" s="8">
        <v>2</v>
      </c>
      <c r="W75" s="8">
        <v>2</v>
      </c>
      <c r="X75" s="8">
        <v>2</v>
      </c>
      <c r="Y75" s="8" t="s"/>
      <c r="Z75" s="5" t="s"/>
    </row>
    <row r="76" spans="1:26">
      <c r="A76" s="9" t="str">
        <f>=样本清单!A76</f>
        <v>M3_P3_03</v>
      </c>
      <c r="B76" s="9" t="str">
        <f>=样本清单!B76</f>
        <v>M3</v>
      </c>
      <c r="C76" s="9" t="str">
        <f>=样本清单!C76</f>
        <v>MAI-Image-2.5-Pro</v>
      </c>
      <c r="D76" s="9" t="str">
        <f>=样本清单!D76</f>
        <v>P3</v>
      </c>
      <c r="E76" s="9">
        <f>=样本清单!F76</f>
        <v>3</v>
      </c>
      <c r="F76" s="8">
        <v>2</v>
      </c>
      <c r="G76" s="8">
        <v>2</v>
      </c>
      <c r="H76" s="8">
        <v>2</v>
      </c>
      <c r="I76" s="8">
        <v>1</v>
      </c>
      <c r="J76" s="8">
        <v>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1</v>
      </c>
      <c r="Q76" s="8">
        <v>2</v>
      </c>
      <c r="R76" s="8">
        <v>1</v>
      </c>
      <c r="S76" s="8">
        <v>2</v>
      </c>
      <c r="T76" s="8">
        <v>2</v>
      </c>
      <c r="U76" s="8">
        <v>1</v>
      </c>
      <c r="V76" s="8">
        <v>2</v>
      </c>
      <c r="W76" s="8">
        <v>2</v>
      </c>
      <c r="X76" s="8">
        <v>2</v>
      </c>
      <c r="Y76" s="8" t="s"/>
      <c r="Z76" s="5" t="s"/>
    </row>
    <row r="77" spans="1:26">
      <c r="A77" s="9" t="str">
        <f>=样本清单!A77</f>
        <v>M3_P3_04</v>
      </c>
      <c r="B77" s="9" t="str">
        <f>=样本清单!B77</f>
        <v>M3</v>
      </c>
      <c r="C77" s="9" t="str">
        <f>=样本清单!C77</f>
        <v>MAI-Image-2.5-Pro</v>
      </c>
      <c r="D77" s="9" t="str">
        <f>=样本清单!D77</f>
        <v>P3</v>
      </c>
      <c r="E77" s="9">
        <f>=样本清单!F77</f>
        <v>4</v>
      </c>
      <c r="F77" s="8">
        <v>2</v>
      </c>
      <c r="G77" s="8">
        <v>2</v>
      </c>
      <c r="H77" s="8">
        <v>2</v>
      </c>
      <c r="I77" s="8">
        <v>0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0</v>
      </c>
      <c r="Q77" s="8">
        <v>0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8">
        <v>2</v>
      </c>
      <c r="X77" s="8">
        <v>2</v>
      </c>
      <c r="Y77" s="8" t="s"/>
      <c r="Z77" s="5" t="s"/>
    </row>
    <row r="78" spans="1:26">
      <c r="A78" s="9" t="str">
        <f>=样本清单!A78</f>
        <v>M3_P3_05</v>
      </c>
      <c r="B78" s="9" t="str">
        <f>=样本清单!B78</f>
        <v>M3</v>
      </c>
      <c r="C78" s="9" t="str">
        <f>=样本清单!C78</f>
        <v>MAI-Image-2.5-Pro</v>
      </c>
      <c r="D78" s="9" t="str">
        <f>=样本清单!D78</f>
        <v>P3</v>
      </c>
      <c r="E78" s="9">
        <f>=样本清单!F78</f>
        <v>5</v>
      </c>
      <c r="F78" s="8">
        <v>2</v>
      </c>
      <c r="G78" s="8">
        <v>2</v>
      </c>
      <c r="H78" s="8">
        <v>2</v>
      </c>
      <c r="I78" s="8">
        <v>0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0</v>
      </c>
      <c r="Q78" s="8">
        <v>0</v>
      </c>
      <c r="R78" s="8">
        <v>1</v>
      </c>
      <c r="S78" s="8">
        <v>2</v>
      </c>
      <c r="T78" s="8">
        <v>1</v>
      </c>
      <c r="U78" s="8">
        <v>1</v>
      </c>
      <c r="V78" s="8">
        <v>2</v>
      </c>
      <c r="W78" s="8">
        <v>2</v>
      </c>
      <c r="X78" s="8">
        <v>2</v>
      </c>
      <c r="Y78" s="8" t="s"/>
      <c r="Z78" s="5" t="s"/>
    </row>
    <row r="79" spans="1:26">
      <c r="A79" s="9" t="str">
        <f>=样本清单!A79</f>
        <v>M3_P3_06</v>
      </c>
      <c r="B79" s="9" t="str">
        <f>=样本清单!B79</f>
        <v>M3</v>
      </c>
      <c r="C79" s="9" t="str">
        <f>=样本清单!C79</f>
        <v>MAI-Image-2.5-Pro</v>
      </c>
      <c r="D79" s="9" t="str">
        <f>=样本清单!D79</f>
        <v>P3</v>
      </c>
      <c r="E79" s="9">
        <f>=样本清单!F79</f>
        <v>6</v>
      </c>
      <c r="F79" s="8">
        <v>2</v>
      </c>
      <c r="G79" s="8">
        <v>2</v>
      </c>
      <c r="H79" s="8">
        <v>2</v>
      </c>
      <c r="I79" s="8">
        <v>1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0</v>
      </c>
      <c r="Q79" s="8">
        <v>0</v>
      </c>
      <c r="R79" s="8">
        <v>1</v>
      </c>
      <c r="S79" s="8">
        <v>2</v>
      </c>
      <c r="T79" s="8">
        <v>2</v>
      </c>
      <c r="U79" s="8">
        <v>2</v>
      </c>
      <c r="V79" s="8">
        <v>2</v>
      </c>
      <c r="W79" s="8">
        <v>2</v>
      </c>
      <c r="X79" s="8">
        <v>2</v>
      </c>
      <c r="Y79" s="8" t="s"/>
      <c r="Z79" s="5" t="s"/>
    </row>
    <row r="80" spans="1:26">
      <c r="A80" s="9" t="str">
        <f>=样本清单!A80</f>
        <v>M3_P3_07</v>
      </c>
      <c r="B80" s="9" t="str">
        <f>=样本清单!B80</f>
        <v>M3</v>
      </c>
      <c r="C80" s="9" t="str">
        <f>=样本清单!C80</f>
        <v>MAI-Image-2.5-Pro</v>
      </c>
      <c r="D80" s="9" t="str">
        <f>=样本清单!D80</f>
        <v>P3</v>
      </c>
      <c r="E80" s="9">
        <f>=样本清单!F80</f>
        <v>7</v>
      </c>
      <c r="F80" s="8">
        <v>2</v>
      </c>
      <c r="G80" s="8">
        <v>2</v>
      </c>
      <c r="H80" s="8">
        <v>2</v>
      </c>
      <c r="I80" s="8">
        <v>2</v>
      </c>
      <c r="J80" s="8">
        <v>2</v>
      </c>
      <c r="K80" s="8">
        <v>2</v>
      </c>
      <c r="L80" s="8" t="s">
        <v>607</v>
      </c>
      <c r="M80" s="8">
        <v>2</v>
      </c>
      <c r="N80" s="8">
        <v>2</v>
      </c>
      <c r="O80" s="8">
        <v>2</v>
      </c>
      <c r="P80" s="8">
        <v>0</v>
      </c>
      <c r="Q80" s="8">
        <v>1</v>
      </c>
      <c r="R80" s="8">
        <v>1</v>
      </c>
      <c r="S80" s="8">
        <v>2</v>
      </c>
      <c r="T80" s="8">
        <v>2</v>
      </c>
      <c r="U80" s="8">
        <v>2</v>
      </c>
      <c r="V80" s="8">
        <v>2</v>
      </c>
      <c r="W80" s="8">
        <v>2</v>
      </c>
      <c r="X80" s="8">
        <v>2</v>
      </c>
      <c r="Y80" s="8" t="s"/>
      <c r="Z80" s="5" t="s"/>
    </row>
    <row r="81" spans="1:26">
      <c r="A81" s="9" t="str">
        <f>=样本清单!A81</f>
        <v>M3_P3_08</v>
      </c>
      <c r="B81" s="9" t="str">
        <f>=样本清单!B81</f>
        <v>M3</v>
      </c>
      <c r="C81" s="9" t="str">
        <f>=样本清单!C81</f>
        <v>MAI-Image-2.5-Pro</v>
      </c>
      <c r="D81" s="9" t="str">
        <f>=样本清单!D81</f>
        <v>P3</v>
      </c>
      <c r="E81" s="9">
        <f>=样本清单!F81</f>
        <v>8</v>
      </c>
      <c r="F81" s="8">
        <v>2</v>
      </c>
      <c r="G81" s="8">
        <v>2</v>
      </c>
      <c r="H81" s="8">
        <v>2</v>
      </c>
      <c r="I81" s="8">
        <v>1</v>
      </c>
      <c r="J81" s="8">
        <v>2</v>
      </c>
      <c r="K81" s="8">
        <v>2</v>
      </c>
      <c r="L81" s="8">
        <v>2</v>
      </c>
      <c r="M81" s="8">
        <v>2</v>
      </c>
      <c r="N81" s="8">
        <v>2</v>
      </c>
      <c r="O81" s="8">
        <v>2</v>
      </c>
      <c r="P81" s="8">
        <v>1</v>
      </c>
      <c r="Q81" s="8">
        <v>1</v>
      </c>
      <c r="R81" s="8">
        <v>1</v>
      </c>
      <c r="S81" s="8">
        <v>2</v>
      </c>
      <c r="T81" s="8">
        <v>2</v>
      </c>
      <c r="U81" s="8">
        <v>2</v>
      </c>
      <c r="V81" s="8">
        <v>2</v>
      </c>
      <c r="W81" s="8">
        <v>2</v>
      </c>
      <c r="X81" s="8">
        <v>2</v>
      </c>
      <c r="Y81" s="8" t="s"/>
      <c r="Z81" s="5" t="s"/>
    </row>
    <row r="82" spans="1:26">
      <c r="A82" s="9" t="str">
        <f>=样本清单!A82</f>
        <v>M3_P3_09</v>
      </c>
      <c r="B82" s="9" t="str">
        <f>=样本清单!B82</f>
        <v>M3</v>
      </c>
      <c r="C82" s="9" t="str">
        <f>=样本清单!C82</f>
        <v>MAI-Image-2.5-Pro</v>
      </c>
      <c r="D82" s="9" t="str">
        <f>=样本清单!D82</f>
        <v>P3</v>
      </c>
      <c r="E82" s="9">
        <f>=样本清单!F82</f>
        <v>9</v>
      </c>
      <c r="F82" s="8">
        <v>2</v>
      </c>
      <c r="G82" s="8">
        <v>2</v>
      </c>
      <c r="H82" s="8">
        <v>2</v>
      </c>
      <c r="I82" s="8">
        <v>2</v>
      </c>
      <c r="J82" s="8">
        <v>2</v>
      </c>
      <c r="K82" s="8">
        <v>2</v>
      </c>
      <c r="L82" s="8">
        <v>2</v>
      </c>
      <c r="M82" s="8">
        <v>2</v>
      </c>
      <c r="N82" s="8">
        <v>2</v>
      </c>
      <c r="O82" s="8">
        <v>2</v>
      </c>
      <c r="P82" s="8">
        <v>0</v>
      </c>
      <c r="Q82" s="8">
        <v>0</v>
      </c>
      <c r="R82" s="8">
        <v>1</v>
      </c>
      <c r="S82" s="8">
        <v>2</v>
      </c>
      <c r="T82" s="8">
        <v>2</v>
      </c>
      <c r="U82" s="8">
        <v>2</v>
      </c>
      <c r="V82" s="8">
        <v>2</v>
      </c>
      <c r="W82" s="8">
        <v>2</v>
      </c>
      <c r="X82" s="8">
        <v>2</v>
      </c>
      <c r="Y82" s="8" t="s"/>
      <c r="Z82" s="5" t="s"/>
    </row>
    <row r="83" spans="1:26">
      <c r="A83" s="9" t="str">
        <f>=样本清单!A83</f>
        <v>M4_P1_01</v>
      </c>
      <c r="B83" s="9" t="str">
        <f>=样本清单!B83</f>
        <v>M4</v>
      </c>
      <c r="C83" s="9" t="str">
        <f>=样本清单!C83</f>
        <v>Reve 2.1</v>
      </c>
      <c r="D83" s="9" t="str">
        <f>=样本清单!D83</f>
        <v>P1</v>
      </c>
      <c r="E83" s="9">
        <f>=样本清单!F83</f>
        <v>1</v>
      </c>
      <c r="F83" s="8">
        <v>0</v>
      </c>
      <c r="G83" s="8">
        <v>0</v>
      </c>
      <c r="H83" s="8">
        <v>0</v>
      </c>
      <c r="I83" s="8">
        <v>2</v>
      </c>
      <c r="J83" s="8">
        <v>2</v>
      </c>
      <c r="K83" s="8">
        <v>2</v>
      </c>
      <c r="L83" s="8">
        <v>2</v>
      </c>
      <c r="M83" s="8">
        <v>2</v>
      </c>
      <c r="N83" s="8" t="s">
        <v>607</v>
      </c>
      <c r="O83" s="8">
        <v>1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8">
        <v>1</v>
      </c>
      <c r="V83" s="8">
        <v>0</v>
      </c>
      <c r="W83" s="8">
        <v>1</v>
      </c>
      <c r="X83" s="8">
        <v>1</v>
      </c>
      <c r="Y83" s="8" t="s"/>
      <c r="Z83" s="5" t="s"/>
    </row>
    <row r="84" spans="1:26">
      <c r="A84" s="9" t="str">
        <f>=样本清单!A84</f>
        <v>M4_P1_02</v>
      </c>
      <c r="B84" s="9" t="str">
        <f>=样本清单!B84</f>
        <v>M4</v>
      </c>
      <c r="C84" s="9" t="str">
        <f>=样本清单!C84</f>
        <v>Reve 2.1</v>
      </c>
      <c r="D84" s="9" t="str">
        <f>=样本清单!D84</f>
        <v>P1</v>
      </c>
      <c r="E84" s="9">
        <f>=样本清单!F84</f>
        <v>2</v>
      </c>
      <c r="F84" s="8">
        <v>0</v>
      </c>
      <c r="G84" s="8">
        <v>0</v>
      </c>
      <c r="H84" s="8">
        <v>1</v>
      </c>
      <c r="I84" s="8">
        <v>0</v>
      </c>
      <c r="J84" s="8">
        <v>0</v>
      </c>
      <c r="K84" s="8">
        <v>2</v>
      </c>
      <c r="L84" s="8">
        <v>2</v>
      </c>
      <c r="M84" s="8">
        <v>2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1</v>
      </c>
      <c r="T84" s="8">
        <v>0</v>
      </c>
      <c r="U84" s="8">
        <v>1</v>
      </c>
      <c r="V84" s="8">
        <v>0</v>
      </c>
      <c r="W84" s="8">
        <v>2</v>
      </c>
      <c r="X84" s="8">
        <v>0</v>
      </c>
      <c r="Y84" s="8" t="s"/>
      <c r="Z84" s="5" t="s"/>
    </row>
    <row r="85" spans="1:26">
      <c r="A85" s="9" t="str">
        <f>=样本清单!A85</f>
        <v>M4_P1_03</v>
      </c>
      <c r="B85" s="9" t="str">
        <f>=样本清单!B85</f>
        <v>M4</v>
      </c>
      <c r="C85" s="9" t="str">
        <f>=样本清单!C85</f>
        <v>Reve 2.1</v>
      </c>
      <c r="D85" s="9" t="str">
        <f>=样本清单!D85</f>
        <v>P1</v>
      </c>
      <c r="E85" s="9">
        <f>=样本清单!F85</f>
        <v>3</v>
      </c>
      <c r="F85" s="8">
        <v>0</v>
      </c>
      <c r="G85" s="8">
        <v>0</v>
      </c>
      <c r="H85" s="8">
        <v>1</v>
      </c>
      <c r="I85" s="8">
        <v>2</v>
      </c>
      <c r="J85" s="8">
        <v>1</v>
      </c>
      <c r="K85" s="8">
        <v>1</v>
      </c>
      <c r="L85" s="8">
        <v>2</v>
      </c>
      <c r="M85" s="8">
        <v>1</v>
      </c>
      <c r="N85" s="8">
        <v>1</v>
      </c>
      <c r="O85" s="8">
        <v>1</v>
      </c>
      <c r="P85" s="8">
        <v>1</v>
      </c>
      <c r="Q85" s="8">
        <v>0</v>
      </c>
      <c r="R85" s="8">
        <v>0</v>
      </c>
      <c r="S85" s="8">
        <v>1</v>
      </c>
      <c r="T85" s="8">
        <v>0</v>
      </c>
      <c r="U85" s="8">
        <v>1</v>
      </c>
      <c r="V85" s="8">
        <v>0</v>
      </c>
      <c r="W85" s="8">
        <v>2</v>
      </c>
      <c r="X85" s="8">
        <v>1</v>
      </c>
      <c r="Y85" s="8" t="s"/>
      <c r="Z85" s="5" t="s"/>
    </row>
    <row r="86" spans="1:26">
      <c r="A86" s="9" t="str">
        <f>=样本清单!A86</f>
        <v>M4_P1_04</v>
      </c>
      <c r="B86" s="9" t="str">
        <f>=样本清单!B86</f>
        <v>M4</v>
      </c>
      <c r="C86" s="9" t="str">
        <f>=样本清单!C86</f>
        <v>Reve 2.1</v>
      </c>
      <c r="D86" s="9" t="str">
        <f>=样本清单!D86</f>
        <v>P1</v>
      </c>
      <c r="E86" s="9">
        <f>=样本清单!F86</f>
        <v>4</v>
      </c>
      <c r="F86" s="8">
        <v>0</v>
      </c>
      <c r="G86" s="8">
        <v>0</v>
      </c>
      <c r="H86" s="8">
        <v>1</v>
      </c>
      <c r="I86" s="8">
        <v>0</v>
      </c>
      <c r="J86" s="8">
        <v>1</v>
      </c>
      <c r="K86" s="8">
        <v>2</v>
      </c>
      <c r="L86" s="8">
        <v>2</v>
      </c>
      <c r="M86" s="8">
        <v>2</v>
      </c>
      <c r="N86" s="8">
        <v>1</v>
      </c>
      <c r="O86" s="8">
        <v>1</v>
      </c>
      <c r="P86" s="8">
        <v>0</v>
      </c>
      <c r="Q86" s="8">
        <v>0</v>
      </c>
      <c r="R86" s="8">
        <v>0</v>
      </c>
      <c r="S86" s="8">
        <v>1</v>
      </c>
      <c r="T86" s="8">
        <v>1</v>
      </c>
      <c r="U86" s="8">
        <v>2</v>
      </c>
      <c r="V86" s="8">
        <v>0</v>
      </c>
      <c r="W86" s="8">
        <v>2</v>
      </c>
      <c r="X86" s="8">
        <v>1</v>
      </c>
      <c r="Y86" s="8" t="s"/>
      <c r="Z86" s="5" t="s"/>
    </row>
    <row r="87" spans="1:26">
      <c r="A87" s="9" t="str">
        <f>=样本清单!A87</f>
        <v>M4_P1_05</v>
      </c>
      <c r="B87" s="9" t="str">
        <f>=样本清单!B87</f>
        <v>M4</v>
      </c>
      <c r="C87" s="9" t="str">
        <f>=样本清单!C87</f>
        <v>Reve 2.1</v>
      </c>
      <c r="D87" s="9" t="str">
        <f>=样本清单!D87</f>
        <v>P1</v>
      </c>
      <c r="E87" s="9">
        <f>=样本清单!F87</f>
        <v>5</v>
      </c>
      <c r="F87" s="8">
        <v>1</v>
      </c>
      <c r="G87" s="8">
        <v>0</v>
      </c>
      <c r="H87" s="8">
        <v>0</v>
      </c>
      <c r="I87" s="8">
        <v>0</v>
      </c>
      <c r="J87" s="8">
        <v>1</v>
      </c>
      <c r="K87" s="8">
        <v>2</v>
      </c>
      <c r="L87" s="8" t="s">
        <v>607</v>
      </c>
      <c r="M87" s="8">
        <v>2</v>
      </c>
      <c r="N87" s="8">
        <v>0</v>
      </c>
      <c r="O87" s="8">
        <v>1</v>
      </c>
      <c r="P87" s="8">
        <v>0</v>
      </c>
      <c r="Q87" s="8">
        <v>0</v>
      </c>
      <c r="R87" s="8">
        <v>0</v>
      </c>
      <c r="S87" s="8">
        <v>1</v>
      </c>
      <c r="T87" s="8">
        <v>2</v>
      </c>
      <c r="U87" s="8">
        <v>1</v>
      </c>
      <c r="V87" s="8">
        <v>0</v>
      </c>
      <c r="W87" s="8">
        <v>2</v>
      </c>
      <c r="X87" s="8">
        <v>2</v>
      </c>
      <c r="Y87" s="8" t="s"/>
      <c r="Z87" s="5" t="s"/>
    </row>
    <row r="88" spans="1:26">
      <c r="A88" s="9" t="str">
        <f>=样本清单!A88</f>
        <v>M4_P1_06</v>
      </c>
      <c r="B88" s="9" t="str">
        <f>=样本清单!B88</f>
        <v>M4</v>
      </c>
      <c r="C88" s="9" t="str">
        <f>=样本清单!C88</f>
        <v>Reve 2.1</v>
      </c>
      <c r="D88" s="9" t="str">
        <f>=样本清单!D88</f>
        <v>P1</v>
      </c>
      <c r="E88" s="9">
        <f>=样本清单!F88</f>
        <v>6</v>
      </c>
      <c r="F88" s="8">
        <v>1</v>
      </c>
      <c r="G88" s="8">
        <v>0</v>
      </c>
      <c r="H88" s="8">
        <v>1</v>
      </c>
      <c r="I88" s="8">
        <v>1</v>
      </c>
      <c r="J88" s="8">
        <v>1</v>
      </c>
      <c r="K88" s="8">
        <v>2</v>
      </c>
      <c r="L88" s="8">
        <v>2</v>
      </c>
      <c r="M88" s="8">
        <v>2</v>
      </c>
      <c r="N88" s="8">
        <v>1</v>
      </c>
      <c r="O88" s="8">
        <v>2</v>
      </c>
      <c r="P88" s="8">
        <v>0</v>
      </c>
      <c r="Q88" s="8">
        <v>0</v>
      </c>
      <c r="R88" s="8">
        <v>0</v>
      </c>
      <c r="S88" s="8">
        <v>1</v>
      </c>
      <c r="T88" s="8">
        <v>1</v>
      </c>
      <c r="U88" s="8">
        <v>1</v>
      </c>
      <c r="V88" s="8">
        <v>1</v>
      </c>
      <c r="W88" s="8">
        <v>2</v>
      </c>
      <c r="X88" s="8">
        <v>2</v>
      </c>
      <c r="Y88" s="8" t="s"/>
      <c r="Z88" s="5" t="s"/>
    </row>
    <row r="89" spans="1:26">
      <c r="A89" s="9" t="str">
        <f>=样本清单!A89</f>
        <v>M4_P1_07</v>
      </c>
      <c r="B89" s="9" t="str">
        <f>=样本清单!B89</f>
        <v>M4</v>
      </c>
      <c r="C89" s="9" t="str">
        <f>=样本清单!C89</f>
        <v>Reve 2.1</v>
      </c>
      <c r="D89" s="9" t="str">
        <f>=样本清单!D89</f>
        <v>P1</v>
      </c>
      <c r="E89" s="9">
        <f>=样本清单!F89</f>
        <v>7</v>
      </c>
      <c r="F89" s="8">
        <v>1</v>
      </c>
      <c r="G89" s="8">
        <v>1</v>
      </c>
      <c r="H89" s="8">
        <v>1</v>
      </c>
      <c r="I89" s="8">
        <v>1</v>
      </c>
      <c r="J89" s="8">
        <v>1</v>
      </c>
      <c r="K89" s="8">
        <v>2</v>
      </c>
      <c r="L89" s="8">
        <v>2</v>
      </c>
      <c r="M89" s="8">
        <v>2</v>
      </c>
      <c r="N89" s="8" t="s">
        <v>607</v>
      </c>
      <c r="O89" s="8">
        <v>2</v>
      </c>
      <c r="P89" s="8">
        <v>0</v>
      </c>
      <c r="Q89" s="8">
        <v>0</v>
      </c>
      <c r="R89" s="8">
        <v>0</v>
      </c>
      <c r="S89" s="8">
        <v>1</v>
      </c>
      <c r="T89" s="8">
        <v>1</v>
      </c>
      <c r="U89" s="8">
        <v>2</v>
      </c>
      <c r="V89" s="8">
        <v>1</v>
      </c>
      <c r="W89" s="8">
        <v>2</v>
      </c>
      <c r="X89" s="8">
        <v>1</v>
      </c>
      <c r="Y89" s="8" t="s"/>
      <c r="Z89" s="5" t="s"/>
    </row>
    <row r="90" spans="1:26">
      <c r="A90" s="9" t="str">
        <f>=样本清单!A90</f>
        <v>M4_P1_08</v>
      </c>
      <c r="B90" s="9" t="str">
        <f>=样本清单!B90</f>
        <v>M4</v>
      </c>
      <c r="C90" s="9" t="str">
        <f>=样本清单!C90</f>
        <v>Reve 2.1</v>
      </c>
      <c r="D90" s="9" t="str">
        <f>=样本清单!D90</f>
        <v>P1</v>
      </c>
      <c r="E90" s="9">
        <f>=样本清单!F90</f>
        <v>8</v>
      </c>
      <c r="F90" s="8">
        <v>2</v>
      </c>
      <c r="G90" s="8">
        <v>0</v>
      </c>
      <c r="H90" s="8">
        <v>1</v>
      </c>
      <c r="I90" s="8">
        <v>1</v>
      </c>
      <c r="J90" s="8">
        <v>1</v>
      </c>
      <c r="K90" s="8">
        <v>2</v>
      </c>
      <c r="L90" s="8">
        <v>2</v>
      </c>
      <c r="M90" s="8">
        <v>2</v>
      </c>
      <c r="N90" s="8" t="s">
        <v>607</v>
      </c>
      <c r="O90" s="8">
        <v>1</v>
      </c>
      <c r="P90" s="8">
        <v>0</v>
      </c>
      <c r="Q90" s="8">
        <v>1</v>
      </c>
      <c r="R90" s="8">
        <v>0</v>
      </c>
      <c r="S90" s="8">
        <v>1</v>
      </c>
      <c r="T90" s="8">
        <v>1</v>
      </c>
      <c r="U90" s="8">
        <v>2</v>
      </c>
      <c r="V90" s="8">
        <v>2</v>
      </c>
      <c r="W90" s="8">
        <v>1</v>
      </c>
      <c r="X90" s="8">
        <v>1</v>
      </c>
      <c r="Y90" s="8" t="s"/>
      <c r="Z90" s="5" t="s"/>
    </row>
    <row r="91" spans="1:26">
      <c r="A91" s="9" t="str">
        <f>=样本清单!A91</f>
        <v>M4_P1_09</v>
      </c>
      <c r="B91" s="9" t="str">
        <f>=样本清单!B91</f>
        <v>M4</v>
      </c>
      <c r="C91" s="9" t="str">
        <f>=样本清单!C91</f>
        <v>Reve 2.1</v>
      </c>
      <c r="D91" s="9" t="str">
        <f>=样本清单!D91</f>
        <v>P1</v>
      </c>
      <c r="E91" s="9">
        <f>=样本清单!F91</f>
        <v>9</v>
      </c>
      <c r="F91" s="8">
        <v>2</v>
      </c>
      <c r="G91" s="8">
        <v>0</v>
      </c>
      <c r="H91" s="8">
        <v>1</v>
      </c>
      <c r="I91" s="8">
        <v>1</v>
      </c>
      <c r="J91" s="8">
        <v>1</v>
      </c>
      <c r="K91" s="8">
        <v>2</v>
      </c>
      <c r="L91" s="8">
        <v>2</v>
      </c>
      <c r="M91" s="8">
        <v>2</v>
      </c>
      <c r="N91" s="8" t="s">
        <v>607</v>
      </c>
      <c r="O91" s="8">
        <v>1</v>
      </c>
      <c r="P91" s="8">
        <v>0</v>
      </c>
      <c r="Q91" s="8">
        <v>0</v>
      </c>
      <c r="R91" s="8">
        <v>0</v>
      </c>
      <c r="S91" s="8">
        <v>2</v>
      </c>
      <c r="T91" s="8">
        <v>2</v>
      </c>
      <c r="U91" s="8">
        <v>2</v>
      </c>
      <c r="V91" s="8">
        <v>1</v>
      </c>
      <c r="W91" s="8">
        <v>2</v>
      </c>
      <c r="X91" s="8">
        <v>2</v>
      </c>
      <c r="Y91" s="8" t="s"/>
      <c r="Z91" s="5" t="s"/>
    </row>
    <row r="92" spans="1:26">
      <c r="A92" s="9" t="str">
        <f>=样本清单!A92</f>
        <v>M4_P2_01</v>
      </c>
      <c r="B92" s="9" t="str">
        <f>=样本清单!B92</f>
        <v>M4</v>
      </c>
      <c r="C92" s="9" t="str">
        <f>=样本清单!C92</f>
        <v>Reve 2.1</v>
      </c>
      <c r="D92" s="9" t="str">
        <f>=样本清单!D92</f>
        <v>P2</v>
      </c>
      <c r="E92" s="9">
        <f>=样本清单!F92</f>
        <v>1</v>
      </c>
      <c r="F92" s="8">
        <v>1</v>
      </c>
      <c r="G92" s="8">
        <v>0</v>
      </c>
      <c r="H92" s="8">
        <v>1</v>
      </c>
      <c r="I92" s="8">
        <v>1</v>
      </c>
      <c r="J92" s="8">
        <v>2</v>
      </c>
      <c r="K92" s="8">
        <v>2</v>
      </c>
      <c r="L92" s="8">
        <v>2</v>
      </c>
      <c r="M92" s="8">
        <v>2</v>
      </c>
      <c r="N92" s="8" t="s">
        <v>607</v>
      </c>
      <c r="O92" s="8">
        <v>2</v>
      </c>
      <c r="P92" s="8">
        <v>0</v>
      </c>
      <c r="Q92" s="8">
        <v>0</v>
      </c>
      <c r="R92" s="8">
        <v>0</v>
      </c>
      <c r="S92" s="8">
        <v>2</v>
      </c>
      <c r="T92" s="8">
        <v>0</v>
      </c>
      <c r="U92" s="8">
        <v>2</v>
      </c>
      <c r="V92" s="8">
        <v>1</v>
      </c>
      <c r="W92" s="8">
        <v>2</v>
      </c>
      <c r="X92" s="8">
        <v>1</v>
      </c>
      <c r="Y92" s="8" t="s"/>
      <c r="Z92" s="5" t="s"/>
    </row>
    <row r="93" spans="1:26">
      <c r="A93" s="9" t="str">
        <f>=样本清单!A93</f>
        <v>M4_P2_02</v>
      </c>
      <c r="B93" s="9" t="str">
        <f>=样本清单!B93</f>
        <v>M4</v>
      </c>
      <c r="C93" s="9" t="str">
        <f>=样本清单!C93</f>
        <v>Reve 2.1</v>
      </c>
      <c r="D93" s="9" t="str">
        <f>=样本清单!D93</f>
        <v>P2</v>
      </c>
      <c r="E93" s="9">
        <f>=样本清单!F93</f>
        <v>2</v>
      </c>
      <c r="F93" s="8">
        <v>1</v>
      </c>
      <c r="G93" s="8">
        <v>1</v>
      </c>
      <c r="H93" s="8">
        <v>1</v>
      </c>
      <c r="I93" s="8">
        <v>0</v>
      </c>
      <c r="J93" s="8">
        <v>1</v>
      </c>
      <c r="K93" s="8">
        <v>2</v>
      </c>
      <c r="L93" s="8">
        <v>2</v>
      </c>
      <c r="M93" s="8">
        <v>2</v>
      </c>
      <c r="N93" s="8" t="s">
        <v>607</v>
      </c>
      <c r="O93" s="8">
        <v>2</v>
      </c>
      <c r="P93" s="8">
        <v>0</v>
      </c>
      <c r="Q93" s="8">
        <v>0</v>
      </c>
      <c r="R93" s="8">
        <v>0</v>
      </c>
      <c r="S93" s="8">
        <v>2</v>
      </c>
      <c r="T93" s="8">
        <v>0</v>
      </c>
      <c r="U93" s="8">
        <v>1</v>
      </c>
      <c r="V93" s="8">
        <v>0</v>
      </c>
      <c r="W93" s="8">
        <v>2</v>
      </c>
      <c r="X93" s="8">
        <v>1</v>
      </c>
      <c r="Y93" s="8" t="s"/>
      <c r="Z93" s="5" t="s"/>
    </row>
    <row r="94" spans="1:26">
      <c r="A94" s="9" t="str">
        <f>=样本清单!A94</f>
        <v>M4_P2_03</v>
      </c>
      <c r="B94" s="9" t="str">
        <f>=样本清单!B94</f>
        <v>M4</v>
      </c>
      <c r="C94" s="9" t="str">
        <f>=样本清单!C94</f>
        <v>Reve 2.1</v>
      </c>
      <c r="D94" s="9" t="str">
        <f>=样本清单!D94</f>
        <v>P2</v>
      </c>
      <c r="E94" s="9">
        <f>=样本清单!F94</f>
        <v>3</v>
      </c>
      <c r="F94" s="8">
        <v>1</v>
      </c>
      <c r="G94" s="8">
        <v>1</v>
      </c>
      <c r="H94" s="8">
        <v>2</v>
      </c>
      <c r="I94" s="8">
        <v>2</v>
      </c>
      <c r="J94" s="8">
        <v>2</v>
      </c>
      <c r="K94" s="8">
        <v>2</v>
      </c>
      <c r="L94" s="8">
        <v>2</v>
      </c>
      <c r="M94" s="8">
        <v>2</v>
      </c>
      <c r="N94" s="8" t="s">
        <v>607</v>
      </c>
      <c r="O94" s="8">
        <v>2</v>
      </c>
      <c r="P94" s="8">
        <v>0</v>
      </c>
      <c r="Q94" s="8">
        <v>0</v>
      </c>
      <c r="R94" s="8">
        <v>0</v>
      </c>
      <c r="S94" s="8">
        <v>2</v>
      </c>
      <c r="T94" s="8">
        <v>1</v>
      </c>
      <c r="U94" s="8">
        <v>1</v>
      </c>
      <c r="V94" s="8">
        <v>1</v>
      </c>
      <c r="W94" s="8">
        <v>2</v>
      </c>
      <c r="X94" s="8">
        <v>1</v>
      </c>
      <c r="Y94" s="8" t="s"/>
      <c r="Z94" s="5" t="s"/>
    </row>
    <row r="95" spans="1:26">
      <c r="A95" s="9" t="str">
        <f>=样本清单!A95</f>
        <v>M4_P2_04</v>
      </c>
      <c r="B95" s="9" t="str">
        <f>=样本清单!B95</f>
        <v>M4</v>
      </c>
      <c r="C95" s="9" t="str">
        <f>=样本清单!C95</f>
        <v>Reve 2.1</v>
      </c>
      <c r="D95" s="9" t="str">
        <f>=样本清单!D95</f>
        <v>P2</v>
      </c>
      <c r="E95" s="9">
        <f>=样本清单!F95</f>
        <v>4</v>
      </c>
      <c r="F95" s="8">
        <v>1</v>
      </c>
      <c r="G95" s="8">
        <v>1</v>
      </c>
      <c r="H95" s="8">
        <v>1</v>
      </c>
      <c r="I95" s="8">
        <v>0</v>
      </c>
      <c r="J95" s="8">
        <v>1</v>
      </c>
      <c r="K95" s="8">
        <v>2</v>
      </c>
      <c r="L95" s="8">
        <v>2</v>
      </c>
      <c r="M95" s="8">
        <v>2</v>
      </c>
      <c r="N95" s="8" t="s">
        <v>607</v>
      </c>
      <c r="O95" s="8">
        <v>2</v>
      </c>
      <c r="P95" s="8">
        <v>0</v>
      </c>
      <c r="Q95" s="8">
        <v>0</v>
      </c>
      <c r="R95" s="8">
        <v>0</v>
      </c>
      <c r="S95" s="8">
        <v>2</v>
      </c>
      <c r="T95" s="8">
        <v>1</v>
      </c>
      <c r="U95" s="8">
        <v>1</v>
      </c>
      <c r="V95" s="8">
        <v>0</v>
      </c>
      <c r="W95" s="8">
        <v>2</v>
      </c>
      <c r="X95" s="8">
        <v>1</v>
      </c>
      <c r="Y95" s="8" t="s"/>
      <c r="Z95" s="5" t="s"/>
    </row>
    <row r="96" spans="1:26">
      <c r="A96" s="9" t="str">
        <f>=样本清单!A96</f>
        <v>M4_P2_05</v>
      </c>
      <c r="B96" s="9" t="str">
        <f>=样本清单!B96</f>
        <v>M4</v>
      </c>
      <c r="C96" s="9" t="str">
        <f>=样本清单!C96</f>
        <v>Reve 2.1</v>
      </c>
      <c r="D96" s="9" t="str">
        <f>=样本清单!D96</f>
        <v>P2</v>
      </c>
      <c r="E96" s="9">
        <f>=样本清单!F96</f>
        <v>5</v>
      </c>
      <c r="F96" s="8">
        <v>1</v>
      </c>
      <c r="G96" s="8">
        <v>2</v>
      </c>
      <c r="H96" s="8">
        <v>1</v>
      </c>
      <c r="I96" s="8">
        <v>1</v>
      </c>
      <c r="J96" s="8">
        <v>1</v>
      </c>
      <c r="K96" s="8">
        <v>2</v>
      </c>
      <c r="L96" s="8">
        <v>2</v>
      </c>
      <c r="M96" s="8">
        <v>2</v>
      </c>
      <c r="N96" s="8" t="s">
        <v>607</v>
      </c>
      <c r="O96" s="8">
        <v>2</v>
      </c>
      <c r="P96" s="8">
        <v>0</v>
      </c>
      <c r="Q96" s="8">
        <v>0</v>
      </c>
      <c r="R96" s="8">
        <v>0</v>
      </c>
      <c r="S96" s="8">
        <v>2</v>
      </c>
      <c r="T96" s="8">
        <v>1</v>
      </c>
      <c r="U96" s="8">
        <v>1</v>
      </c>
      <c r="V96" s="8">
        <v>0</v>
      </c>
      <c r="W96" s="8">
        <v>2</v>
      </c>
      <c r="X96" s="8">
        <v>1</v>
      </c>
      <c r="Y96" s="8" t="s"/>
      <c r="Z96" s="5" t="s"/>
    </row>
    <row r="97" spans="1:26">
      <c r="A97" s="9" t="str">
        <f>=样本清单!A97</f>
        <v>M4_P2_06</v>
      </c>
      <c r="B97" s="9" t="str">
        <f>=样本清单!B97</f>
        <v>M4</v>
      </c>
      <c r="C97" s="9" t="str">
        <f>=样本清单!C97</f>
        <v>Reve 2.1</v>
      </c>
      <c r="D97" s="9" t="str">
        <f>=样本清单!D97</f>
        <v>P2</v>
      </c>
      <c r="E97" s="9">
        <f>=样本清单!F97</f>
        <v>6</v>
      </c>
      <c r="F97" s="8">
        <v>2</v>
      </c>
      <c r="G97" s="8">
        <v>0</v>
      </c>
      <c r="H97" s="8">
        <v>1</v>
      </c>
      <c r="I97" s="8">
        <v>2</v>
      </c>
      <c r="J97" s="8">
        <v>1</v>
      </c>
      <c r="K97" s="8">
        <v>2</v>
      </c>
      <c r="L97" s="8">
        <v>2</v>
      </c>
      <c r="M97" s="8">
        <v>2</v>
      </c>
      <c r="N97" s="8" t="s">
        <v>607</v>
      </c>
      <c r="O97" s="8">
        <v>1</v>
      </c>
      <c r="P97" s="8">
        <v>0</v>
      </c>
      <c r="Q97" s="8">
        <v>1</v>
      </c>
      <c r="R97" s="8">
        <v>0</v>
      </c>
      <c r="S97" s="8">
        <v>1</v>
      </c>
      <c r="T97" s="8">
        <v>0</v>
      </c>
      <c r="U97" s="8">
        <v>0</v>
      </c>
      <c r="V97" s="8">
        <v>0</v>
      </c>
      <c r="W97" s="8">
        <v>2</v>
      </c>
      <c r="X97" s="8">
        <v>2</v>
      </c>
      <c r="Y97" s="8" t="s"/>
      <c r="Z97" s="5" t="s"/>
    </row>
    <row r="98" spans="1:26">
      <c r="A98" s="9" t="str">
        <f>=样本清单!A98</f>
        <v>M4_P2_07</v>
      </c>
      <c r="B98" s="9" t="str">
        <f>=样本清单!B98</f>
        <v>M4</v>
      </c>
      <c r="C98" s="9" t="str">
        <f>=样本清单!C98</f>
        <v>Reve 2.1</v>
      </c>
      <c r="D98" s="9" t="str">
        <f>=样本清单!D98</f>
        <v>P2</v>
      </c>
      <c r="E98" s="9">
        <f>=样本清单!F98</f>
        <v>7</v>
      </c>
      <c r="F98" s="8">
        <v>1</v>
      </c>
      <c r="G98" s="8">
        <v>1</v>
      </c>
      <c r="H98" s="8">
        <v>2</v>
      </c>
      <c r="I98" s="8">
        <v>0</v>
      </c>
      <c r="J98" s="8">
        <v>2</v>
      </c>
      <c r="K98" s="8">
        <v>2</v>
      </c>
      <c r="L98" s="8">
        <v>2</v>
      </c>
      <c r="M98" s="8">
        <v>2</v>
      </c>
      <c r="N98" s="8" t="s">
        <v>607</v>
      </c>
      <c r="O98" s="8">
        <v>2</v>
      </c>
      <c r="P98" s="8">
        <v>0</v>
      </c>
      <c r="Q98" s="8">
        <v>0</v>
      </c>
      <c r="R98" s="8">
        <v>0</v>
      </c>
      <c r="S98" s="8">
        <v>2</v>
      </c>
      <c r="T98" s="8">
        <v>1</v>
      </c>
      <c r="U98" s="8">
        <v>2</v>
      </c>
      <c r="V98" s="8">
        <v>0</v>
      </c>
      <c r="W98" s="8">
        <v>2</v>
      </c>
      <c r="X98" s="8">
        <v>1</v>
      </c>
      <c r="Y98" s="8" t="s"/>
      <c r="Z98" s="5" t="s"/>
    </row>
    <row r="99" spans="1:26">
      <c r="A99" s="9" t="str">
        <f>=样本清单!A99</f>
        <v>M4_P2_08</v>
      </c>
      <c r="B99" s="9" t="str">
        <f>=样本清单!B99</f>
        <v>M4</v>
      </c>
      <c r="C99" s="9" t="str">
        <f>=样本清单!C99</f>
        <v>Reve 2.1</v>
      </c>
      <c r="D99" s="9" t="str">
        <f>=样本清单!D99</f>
        <v>P2</v>
      </c>
      <c r="E99" s="9">
        <f>=样本清单!F99</f>
        <v>8</v>
      </c>
      <c r="F99" s="8">
        <v>1</v>
      </c>
      <c r="G99" s="8">
        <v>0</v>
      </c>
      <c r="H99" s="8">
        <v>2</v>
      </c>
      <c r="I99" s="8">
        <v>2</v>
      </c>
      <c r="J99" s="8">
        <v>2</v>
      </c>
      <c r="K99" s="8">
        <v>2</v>
      </c>
      <c r="L99" s="8">
        <v>2</v>
      </c>
      <c r="M99" s="8">
        <v>2</v>
      </c>
      <c r="N99" s="8" t="s">
        <v>607</v>
      </c>
      <c r="O99" s="8">
        <v>2</v>
      </c>
      <c r="P99" s="8">
        <v>0</v>
      </c>
      <c r="Q99" s="8">
        <v>0</v>
      </c>
      <c r="R99" s="8">
        <v>0</v>
      </c>
      <c r="S99" s="8">
        <v>2</v>
      </c>
      <c r="T99" s="8">
        <v>1</v>
      </c>
      <c r="U99" s="8">
        <v>2</v>
      </c>
      <c r="V99" s="8">
        <v>0</v>
      </c>
      <c r="W99" s="8">
        <v>2</v>
      </c>
      <c r="X99" s="8">
        <v>1</v>
      </c>
      <c r="Y99" s="8" t="s"/>
      <c r="Z99" s="5" t="s"/>
    </row>
    <row r="100" spans="1:26">
      <c r="A100" s="9" t="str">
        <f>=样本清单!A100</f>
        <v>M4_P2_09</v>
      </c>
      <c r="B100" s="9" t="str">
        <f>=样本清单!B100</f>
        <v>M4</v>
      </c>
      <c r="C100" s="9" t="str">
        <f>=样本清单!C100</f>
        <v>Reve 2.1</v>
      </c>
      <c r="D100" s="9" t="str">
        <f>=样本清单!D100</f>
        <v>P2</v>
      </c>
      <c r="E100" s="9">
        <f>=样本清单!F100</f>
        <v>9</v>
      </c>
      <c r="F100" s="8">
        <v>1</v>
      </c>
      <c r="G100" s="8">
        <v>2</v>
      </c>
      <c r="H100" s="8">
        <v>1</v>
      </c>
      <c r="I100" s="8">
        <v>0</v>
      </c>
      <c r="J100" s="8">
        <v>2</v>
      </c>
      <c r="K100" s="8">
        <v>2</v>
      </c>
      <c r="L100" s="8">
        <v>2</v>
      </c>
      <c r="M100" s="8">
        <v>2</v>
      </c>
      <c r="N100" s="8" t="s">
        <v>607</v>
      </c>
      <c r="O100" s="8">
        <v>2</v>
      </c>
      <c r="P100" s="8">
        <v>0</v>
      </c>
      <c r="Q100" s="8">
        <v>0</v>
      </c>
      <c r="R100" s="8">
        <v>0</v>
      </c>
      <c r="S100" s="8">
        <v>2</v>
      </c>
      <c r="T100" s="8">
        <v>1</v>
      </c>
      <c r="U100" s="8">
        <v>2</v>
      </c>
      <c r="V100" s="8">
        <v>0</v>
      </c>
      <c r="W100" s="8">
        <v>2</v>
      </c>
      <c r="X100" s="8">
        <v>1</v>
      </c>
      <c r="Y100" s="8" t="s"/>
      <c r="Z100" s="5" t="s"/>
    </row>
    <row r="101" spans="1:26">
      <c r="A101" s="9" t="str">
        <f>=样本清单!A101</f>
        <v>M4_P3_01</v>
      </c>
      <c r="B101" s="9" t="str">
        <f>=样本清单!B101</f>
        <v>M4</v>
      </c>
      <c r="C101" s="9" t="str">
        <f>=样本清单!C101</f>
        <v>Reve 2.1</v>
      </c>
      <c r="D101" s="9" t="str">
        <f>=样本清单!D101</f>
        <v>P3</v>
      </c>
      <c r="E101" s="9">
        <f>=样本清单!F101</f>
        <v>1</v>
      </c>
      <c r="F101" s="8">
        <v>1</v>
      </c>
      <c r="G101" s="8">
        <v>0</v>
      </c>
      <c r="H101" s="8">
        <v>1</v>
      </c>
      <c r="I101" s="8">
        <v>1</v>
      </c>
      <c r="J101" s="8">
        <v>2</v>
      </c>
      <c r="K101" s="8">
        <v>2</v>
      </c>
      <c r="L101" s="8">
        <v>1</v>
      </c>
      <c r="M101" s="8">
        <v>1</v>
      </c>
      <c r="N101" s="8">
        <v>1</v>
      </c>
      <c r="O101" s="8">
        <v>2</v>
      </c>
      <c r="P101" s="8">
        <v>0</v>
      </c>
      <c r="Q101" s="8">
        <v>0</v>
      </c>
      <c r="R101" s="8">
        <v>1</v>
      </c>
      <c r="S101" s="8">
        <v>2</v>
      </c>
      <c r="T101" s="8">
        <v>2</v>
      </c>
      <c r="U101" s="8">
        <v>1</v>
      </c>
      <c r="V101" s="8">
        <v>1</v>
      </c>
      <c r="W101" s="8">
        <v>2</v>
      </c>
      <c r="X101" s="8">
        <v>1</v>
      </c>
      <c r="Y101" s="8" t="s"/>
      <c r="Z101" s="5" t="s"/>
    </row>
    <row r="102" spans="1:26">
      <c r="A102" s="9" t="str">
        <f>=样本清单!A102</f>
        <v>M4_P3_02</v>
      </c>
      <c r="B102" s="9" t="str">
        <f>=样本清单!B102</f>
        <v>M4</v>
      </c>
      <c r="C102" s="9" t="str">
        <f>=样本清单!C102</f>
        <v>Reve 2.1</v>
      </c>
      <c r="D102" s="9" t="str">
        <f>=样本清单!D102</f>
        <v>P3</v>
      </c>
      <c r="E102" s="9">
        <f>=样本清单!F102</f>
        <v>2</v>
      </c>
      <c r="F102" s="8">
        <v>1</v>
      </c>
      <c r="G102" s="8">
        <v>2</v>
      </c>
      <c r="H102" s="8">
        <v>2</v>
      </c>
      <c r="I102" s="8">
        <v>1</v>
      </c>
      <c r="J102" s="8">
        <v>2</v>
      </c>
      <c r="K102" s="8">
        <v>2</v>
      </c>
      <c r="L102" s="8">
        <v>1</v>
      </c>
      <c r="M102" s="8">
        <v>2</v>
      </c>
      <c r="N102" s="8">
        <v>1</v>
      </c>
      <c r="O102" s="8">
        <v>2</v>
      </c>
      <c r="P102" s="8">
        <v>0</v>
      </c>
      <c r="Q102" s="8">
        <v>0</v>
      </c>
      <c r="R102" s="8">
        <v>1</v>
      </c>
      <c r="S102" s="8">
        <v>2</v>
      </c>
      <c r="T102" s="8">
        <v>2</v>
      </c>
      <c r="U102" s="8">
        <v>1</v>
      </c>
      <c r="V102" s="8">
        <v>1</v>
      </c>
      <c r="W102" s="8">
        <v>2</v>
      </c>
      <c r="X102" s="8">
        <v>1</v>
      </c>
      <c r="Y102" s="8" t="s"/>
      <c r="Z102" s="5" t="s"/>
    </row>
    <row r="103" spans="1:26">
      <c r="A103" s="9" t="str">
        <f>=样本清单!A103</f>
        <v>M4_P3_03</v>
      </c>
      <c r="B103" s="9" t="str">
        <f>=样本清单!B103</f>
        <v>M4</v>
      </c>
      <c r="C103" s="9" t="str">
        <f>=样本清单!C103</f>
        <v>Reve 2.1</v>
      </c>
      <c r="D103" s="9" t="str">
        <f>=样本清单!D103</f>
        <v>P3</v>
      </c>
      <c r="E103" s="9">
        <f>=样本清单!F103</f>
        <v>3</v>
      </c>
      <c r="F103" s="8">
        <v>2</v>
      </c>
      <c r="G103" s="8">
        <v>1</v>
      </c>
      <c r="H103" s="8">
        <v>1</v>
      </c>
      <c r="I103" s="8">
        <v>2</v>
      </c>
      <c r="J103" s="8">
        <v>2</v>
      </c>
      <c r="K103" s="8">
        <v>2</v>
      </c>
      <c r="L103" s="8">
        <v>1</v>
      </c>
      <c r="M103" s="8">
        <v>1</v>
      </c>
      <c r="N103" s="8">
        <v>2</v>
      </c>
      <c r="O103" s="8">
        <v>2</v>
      </c>
      <c r="P103" s="8">
        <v>0</v>
      </c>
      <c r="Q103" s="8">
        <v>0</v>
      </c>
      <c r="R103" s="8">
        <v>1</v>
      </c>
      <c r="S103" s="8">
        <v>2</v>
      </c>
      <c r="T103" s="8">
        <v>2</v>
      </c>
      <c r="U103" s="8">
        <v>1</v>
      </c>
      <c r="V103" s="8">
        <v>1</v>
      </c>
      <c r="W103" s="8">
        <v>2</v>
      </c>
      <c r="X103" s="8">
        <v>2</v>
      </c>
      <c r="Y103" s="8" t="s"/>
      <c r="Z103" s="5" t="s"/>
    </row>
    <row r="104" spans="1:26">
      <c r="A104" s="9" t="str">
        <f>=样本清单!A104</f>
        <v>M4_P3_04</v>
      </c>
      <c r="B104" s="9" t="str">
        <f>=样本清单!B104</f>
        <v>M4</v>
      </c>
      <c r="C104" s="9" t="str">
        <f>=样本清单!C104</f>
        <v>Reve 2.1</v>
      </c>
      <c r="D104" s="9" t="str">
        <f>=样本清单!D104</f>
        <v>P3</v>
      </c>
      <c r="E104" s="9">
        <f>=样本清单!F104</f>
        <v>4</v>
      </c>
      <c r="F104" s="8">
        <v>2</v>
      </c>
      <c r="G104" s="8">
        <v>2</v>
      </c>
      <c r="H104" s="8">
        <v>2</v>
      </c>
      <c r="I104" s="8">
        <v>1</v>
      </c>
      <c r="J104" s="8">
        <v>2</v>
      </c>
      <c r="K104" s="8">
        <v>2</v>
      </c>
      <c r="L104" s="8">
        <v>2</v>
      </c>
      <c r="M104" s="8">
        <v>1</v>
      </c>
      <c r="N104" s="8">
        <v>2</v>
      </c>
      <c r="O104" s="8">
        <v>2</v>
      </c>
      <c r="P104" s="8">
        <v>0</v>
      </c>
      <c r="Q104" s="8">
        <v>0</v>
      </c>
      <c r="R104" s="8">
        <v>1</v>
      </c>
      <c r="S104" s="8">
        <v>2</v>
      </c>
      <c r="T104" s="8">
        <v>2</v>
      </c>
      <c r="U104" s="8">
        <v>1</v>
      </c>
      <c r="V104" s="8">
        <v>2</v>
      </c>
      <c r="W104" s="8">
        <v>2</v>
      </c>
      <c r="X104" s="8">
        <v>2</v>
      </c>
      <c r="Y104" s="8" t="s"/>
      <c r="Z104" s="5" t="s"/>
    </row>
    <row r="105" spans="1:26">
      <c r="A105" s="9" t="str">
        <f>=样本清单!A105</f>
        <v>M4_P3_05</v>
      </c>
      <c r="B105" s="9" t="str">
        <f>=样本清单!B105</f>
        <v>M4</v>
      </c>
      <c r="C105" s="9" t="str">
        <f>=样本清单!C105</f>
        <v>Reve 2.1</v>
      </c>
      <c r="D105" s="9" t="str">
        <f>=样本清单!D105</f>
        <v>P3</v>
      </c>
      <c r="E105" s="9">
        <f>=样本清单!F105</f>
        <v>5</v>
      </c>
      <c r="F105" s="8">
        <v>1</v>
      </c>
      <c r="G105" s="8">
        <v>1</v>
      </c>
      <c r="H105" s="8">
        <v>1</v>
      </c>
      <c r="I105" s="8">
        <v>1</v>
      </c>
      <c r="J105" s="8">
        <v>2</v>
      </c>
      <c r="K105" s="8">
        <v>2</v>
      </c>
      <c r="L105" s="8">
        <v>0</v>
      </c>
      <c r="M105" s="8">
        <v>2</v>
      </c>
      <c r="N105" s="8">
        <v>1</v>
      </c>
      <c r="O105" s="8">
        <v>2</v>
      </c>
      <c r="P105" s="8">
        <v>0</v>
      </c>
      <c r="Q105" s="8">
        <v>0</v>
      </c>
      <c r="R105" s="8">
        <v>1</v>
      </c>
      <c r="S105" s="8">
        <v>2</v>
      </c>
      <c r="T105" s="8">
        <v>2</v>
      </c>
      <c r="U105" s="8">
        <v>1</v>
      </c>
      <c r="V105" s="8">
        <v>1</v>
      </c>
      <c r="W105" s="8">
        <v>2</v>
      </c>
      <c r="X105" s="8">
        <v>2</v>
      </c>
      <c r="Y105" s="8" t="s"/>
      <c r="Z105" s="5" t="s"/>
    </row>
    <row r="106" spans="1:26">
      <c r="A106" s="9" t="str">
        <f>=样本清单!A106</f>
        <v>M4_P3_06</v>
      </c>
      <c r="B106" s="9" t="str">
        <f>=样本清单!B106</f>
        <v>M4</v>
      </c>
      <c r="C106" s="9" t="str">
        <f>=样本清单!C106</f>
        <v>Reve 2.1</v>
      </c>
      <c r="D106" s="9" t="str">
        <f>=样本清单!D106</f>
        <v>P3</v>
      </c>
      <c r="E106" s="9">
        <f>=样本清单!F106</f>
        <v>6</v>
      </c>
      <c r="F106" s="8">
        <v>1</v>
      </c>
      <c r="G106" s="8">
        <v>2</v>
      </c>
      <c r="H106" s="8">
        <v>2</v>
      </c>
      <c r="I106" s="8">
        <v>1</v>
      </c>
      <c r="J106" s="8">
        <v>2</v>
      </c>
      <c r="K106" s="8">
        <v>2</v>
      </c>
      <c r="L106" s="8">
        <v>2</v>
      </c>
      <c r="M106" s="8">
        <v>2</v>
      </c>
      <c r="N106" s="8">
        <v>2</v>
      </c>
      <c r="O106" s="8">
        <v>2</v>
      </c>
      <c r="P106" s="8">
        <v>0</v>
      </c>
      <c r="Q106" s="8">
        <v>0</v>
      </c>
      <c r="R106" s="8">
        <v>1</v>
      </c>
      <c r="S106" s="8">
        <v>2</v>
      </c>
      <c r="T106" s="8">
        <v>1</v>
      </c>
      <c r="U106" s="8">
        <v>1</v>
      </c>
      <c r="V106" s="8">
        <v>2</v>
      </c>
      <c r="W106" s="8">
        <v>2</v>
      </c>
      <c r="X106" s="8">
        <v>2</v>
      </c>
      <c r="Y106" s="8" t="s"/>
      <c r="Z106" s="5" t="s"/>
    </row>
    <row r="107" spans="1:26">
      <c r="A107" s="9" t="str">
        <f>=样本清单!A107</f>
        <v>M4_P3_07</v>
      </c>
      <c r="B107" s="9" t="str">
        <f>=样本清单!B107</f>
        <v>M4</v>
      </c>
      <c r="C107" s="9" t="str">
        <f>=样本清单!C107</f>
        <v>Reve 2.1</v>
      </c>
      <c r="D107" s="9" t="str">
        <f>=样本清单!D107</f>
        <v>P3</v>
      </c>
      <c r="E107" s="9">
        <f>=样本清单!F107</f>
        <v>7</v>
      </c>
      <c r="F107" s="8">
        <v>1</v>
      </c>
      <c r="G107" s="8">
        <v>2</v>
      </c>
      <c r="H107" s="8">
        <v>2</v>
      </c>
      <c r="I107" s="8">
        <v>1</v>
      </c>
      <c r="J107" s="8">
        <v>2</v>
      </c>
      <c r="K107" s="8">
        <v>2</v>
      </c>
      <c r="L107" s="8">
        <v>1</v>
      </c>
      <c r="M107" s="8">
        <v>2</v>
      </c>
      <c r="N107" s="8">
        <v>1</v>
      </c>
      <c r="O107" s="8">
        <v>2</v>
      </c>
      <c r="P107" s="8">
        <v>0</v>
      </c>
      <c r="Q107" s="8">
        <v>0</v>
      </c>
      <c r="R107" s="8">
        <v>1</v>
      </c>
      <c r="S107" s="8">
        <v>2</v>
      </c>
      <c r="T107" s="8">
        <v>1</v>
      </c>
      <c r="U107" s="8">
        <v>1</v>
      </c>
      <c r="V107" s="8">
        <v>1</v>
      </c>
      <c r="W107" s="8">
        <v>2</v>
      </c>
      <c r="X107" s="8">
        <v>2</v>
      </c>
      <c r="Y107" s="8" t="s"/>
      <c r="Z107" s="5" t="s"/>
    </row>
    <row r="108" spans="1:26">
      <c r="A108" s="9" t="str">
        <f>=样本清单!A108</f>
        <v>M4_P3_08</v>
      </c>
      <c r="B108" s="9" t="str">
        <f>=样本清单!B108</f>
        <v>M4</v>
      </c>
      <c r="C108" s="9" t="str">
        <f>=样本清单!C108</f>
        <v>Reve 2.1</v>
      </c>
      <c r="D108" s="9" t="str">
        <f>=样本清单!D108</f>
        <v>P3</v>
      </c>
      <c r="E108" s="9">
        <f>=样本清单!F108</f>
        <v>8</v>
      </c>
      <c r="F108" s="8">
        <v>1</v>
      </c>
      <c r="G108" s="8">
        <v>2</v>
      </c>
      <c r="H108" s="8">
        <v>1</v>
      </c>
      <c r="I108" s="8">
        <v>1</v>
      </c>
      <c r="J108" s="8">
        <v>1</v>
      </c>
      <c r="K108" s="8">
        <v>2</v>
      </c>
      <c r="L108" s="8" t="s">
        <v>607</v>
      </c>
      <c r="M108" s="8">
        <v>2</v>
      </c>
      <c r="N108" s="8">
        <v>1</v>
      </c>
      <c r="O108" s="8">
        <v>2</v>
      </c>
      <c r="P108" s="8">
        <v>0</v>
      </c>
      <c r="Q108" s="8">
        <v>0</v>
      </c>
      <c r="R108" s="8">
        <v>0</v>
      </c>
      <c r="S108" s="8">
        <v>2</v>
      </c>
      <c r="T108" s="8">
        <v>2</v>
      </c>
      <c r="U108" s="8">
        <v>1</v>
      </c>
      <c r="V108" s="8">
        <v>1</v>
      </c>
      <c r="W108" s="8">
        <v>2</v>
      </c>
      <c r="X108" s="8">
        <v>1</v>
      </c>
      <c r="Y108" s="8" t="s"/>
      <c r="Z108" s="5" t="s"/>
    </row>
    <row r="109" spans="1:26">
      <c r="A109" s="9" t="str">
        <f>=样本清单!A109</f>
        <v>M4_P3_09</v>
      </c>
      <c r="B109" s="9" t="str">
        <f>=样本清单!B109</f>
        <v>M4</v>
      </c>
      <c r="C109" s="9" t="str">
        <f>=样本清单!C109</f>
        <v>Reve 2.1</v>
      </c>
      <c r="D109" s="9" t="str">
        <f>=样本清单!D109</f>
        <v>P3</v>
      </c>
      <c r="E109" s="9">
        <f>=样本清单!F109</f>
        <v>9</v>
      </c>
      <c r="F109" s="8">
        <v>1</v>
      </c>
      <c r="G109" s="8">
        <v>2</v>
      </c>
      <c r="H109" s="8">
        <v>2</v>
      </c>
      <c r="I109" s="8">
        <v>1</v>
      </c>
      <c r="J109" s="8">
        <v>2</v>
      </c>
      <c r="K109" s="8">
        <v>2</v>
      </c>
      <c r="L109" s="8">
        <v>2</v>
      </c>
      <c r="M109" s="8">
        <v>2</v>
      </c>
      <c r="N109" s="8">
        <v>2</v>
      </c>
      <c r="O109" s="8">
        <v>2</v>
      </c>
      <c r="P109" s="8">
        <v>0</v>
      </c>
      <c r="Q109" s="8">
        <v>0</v>
      </c>
      <c r="R109" s="8">
        <v>1</v>
      </c>
      <c r="S109" s="8">
        <v>2</v>
      </c>
      <c r="T109" s="8">
        <v>1</v>
      </c>
      <c r="U109" s="8">
        <v>1</v>
      </c>
      <c r="V109" s="8">
        <v>1</v>
      </c>
      <c r="W109" s="8">
        <v>2</v>
      </c>
      <c r="X109" s="8">
        <v>2</v>
      </c>
      <c r="Y109" s="8" t="s"/>
      <c r="Z109" s="5" t="s"/>
    </row>
    <row r="110" spans="1:26">
      <c r="A110" s="9" t="str">
        <f>=样本清单!A110</f>
        <v>M5_P1_01</v>
      </c>
      <c r="B110" s="9" t="str">
        <f>=样本清单!B110</f>
        <v>M5</v>
      </c>
      <c r="C110" s="9" t="str">
        <f>=样本清单!C110</f>
        <v>Seedream 5.0 Lite</v>
      </c>
      <c r="D110" s="9" t="str">
        <f>=样本清单!D110</f>
        <v>P1</v>
      </c>
      <c r="E110" s="9">
        <f>=样本清单!F110</f>
        <v>1</v>
      </c>
      <c r="F110" s="8">
        <v>2</v>
      </c>
      <c r="G110" s="8">
        <v>2</v>
      </c>
      <c r="H110" s="8">
        <v>2</v>
      </c>
      <c r="I110" s="8">
        <v>1</v>
      </c>
      <c r="J110" s="8">
        <v>1</v>
      </c>
      <c r="K110" s="8">
        <v>0</v>
      </c>
      <c r="L110" s="8" t="s">
        <v>607</v>
      </c>
      <c r="M110" s="8">
        <v>2</v>
      </c>
      <c r="N110" s="8" t="s">
        <v>607</v>
      </c>
      <c r="O110" s="8">
        <v>2</v>
      </c>
      <c r="P110" s="8">
        <v>0</v>
      </c>
      <c r="Q110" s="8">
        <v>0</v>
      </c>
      <c r="R110" s="8">
        <v>0</v>
      </c>
      <c r="S110" s="8">
        <v>2</v>
      </c>
      <c r="T110" s="8">
        <v>1</v>
      </c>
      <c r="U110" s="8">
        <v>2</v>
      </c>
      <c r="V110" s="8">
        <v>2</v>
      </c>
      <c r="W110" s="8">
        <v>2</v>
      </c>
      <c r="X110" s="8">
        <v>2</v>
      </c>
      <c r="Y110" s="8" t="s"/>
      <c r="Z110" s="5" t="s"/>
    </row>
    <row r="111" spans="1:26">
      <c r="A111" s="9" t="str">
        <f>=样本清单!A111</f>
        <v>M5_P1_02</v>
      </c>
      <c r="B111" s="9" t="str">
        <f>=样本清单!B111</f>
        <v>M5</v>
      </c>
      <c r="C111" s="9" t="str">
        <f>=样本清单!C111</f>
        <v>Seedream 5.0 Lite</v>
      </c>
      <c r="D111" s="9" t="str">
        <f>=样本清单!D111</f>
        <v>P1</v>
      </c>
      <c r="E111" s="9">
        <f>=样本清单!F111</f>
        <v>2</v>
      </c>
      <c r="F111" s="8">
        <v>2</v>
      </c>
      <c r="G111" s="8">
        <v>0</v>
      </c>
      <c r="H111" s="8">
        <v>2</v>
      </c>
      <c r="I111" s="8">
        <v>1</v>
      </c>
      <c r="J111" s="8">
        <v>2</v>
      </c>
      <c r="K111" s="8">
        <v>1</v>
      </c>
      <c r="L111" s="8">
        <v>2</v>
      </c>
      <c r="M111" s="8">
        <v>2</v>
      </c>
      <c r="N111" s="8" t="s">
        <v>607</v>
      </c>
      <c r="O111" s="8">
        <v>2</v>
      </c>
      <c r="P111" s="8">
        <v>0</v>
      </c>
      <c r="Q111" s="8">
        <v>0</v>
      </c>
      <c r="R111" s="8">
        <v>0</v>
      </c>
      <c r="S111" s="8">
        <v>2</v>
      </c>
      <c r="T111" s="8">
        <v>1</v>
      </c>
      <c r="U111" s="8">
        <v>1</v>
      </c>
      <c r="V111" s="8">
        <v>2</v>
      </c>
      <c r="W111" s="8">
        <v>2</v>
      </c>
      <c r="X111" s="8">
        <v>2</v>
      </c>
      <c r="Y111" s="8" t="s"/>
      <c r="Z111" s="5" t="s"/>
    </row>
    <row r="112" spans="1:26">
      <c r="A112" s="9" t="str">
        <f>=样本清单!A112</f>
        <v>M5_P1_03</v>
      </c>
      <c r="B112" s="9" t="str">
        <f>=样本清单!B112</f>
        <v>M5</v>
      </c>
      <c r="C112" s="9" t="str">
        <f>=样本清单!C112</f>
        <v>Seedream 5.0 Lite</v>
      </c>
      <c r="D112" s="9" t="str">
        <f>=样本清单!D112</f>
        <v>P1</v>
      </c>
      <c r="E112" s="9">
        <f>=样本清单!F112</f>
        <v>3</v>
      </c>
      <c r="F112" s="8">
        <v>1</v>
      </c>
      <c r="G112" s="8">
        <v>0</v>
      </c>
      <c r="H112" s="8">
        <v>2</v>
      </c>
      <c r="I112" s="8">
        <v>1</v>
      </c>
      <c r="J112" s="8">
        <v>0</v>
      </c>
      <c r="K112" s="8">
        <v>2</v>
      </c>
      <c r="L112" s="8">
        <v>2</v>
      </c>
      <c r="M112" s="8">
        <v>2</v>
      </c>
      <c r="N112" s="8" t="s">
        <v>607</v>
      </c>
      <c r="O112" s="8">
        <v>2</v>
      </c>
      <c r="P112" s="8">
        <v>0</v>
      </c>
      <c r="Q112" s="8">
        <v>0</v>
      </c>
      <c r="R112" s="8">
        <v>0</v>
      </c>
      <c r="S112" s="8">
        <v>2</v>
      </c>
      <c r="T112" s="8">
        <v>2</v>
      </c>
      <c r="U112" s="8">
        <v>1</v>
      </c>
      <c r="V112" s="8">
        <v>1</v>
      </c>
      <c r="W112" s="8">
        <v>2</v>
      </c>
      <c r="X112" s="8">
        <v>2</v>
      </c>
      <c r="Y112" s="8" t="s"/>
      <c r="Z112" s="5" t="s"/>
    </row>
    <row r="113" spans="1:26">
      <c r="A113" s="9" t="str">
        <f>=样本清单!A113</f>
        <v>M5_P1_04</v>
      </c>
      <c r="B113" s="9" t="str">
        <f>=样本清单!B113</f>
        <v>M5</v>
      </c>
      <c r="C113" s="9" t="str">
        <f>=样本清单!C113</f>
        <v>Seedream 5.0 Lite</v>
      </c>
      <c r="D113" s="9" t="str">
        <f>=样本清单!D113</f>
        <v>P1</v>
      </c>
      <c r="E113" s="9">
        <f>=样本清单!F113</f>
        <v>4</v>
      </c>
      <c r="F113" s="8">
        <v>2</v>
      </c>
      <c r="G113" s="8">
        <v>2</v>
      </c>
      <c r="H113" s="8">
        <v>1</v>
      </c>
      <c r="I113" s="8">
        <v>1</v>
      </c>
      <c r="J113" s="8">
        <v>2</v>
      </c>
      <c r="K113" s="8">
        <v>2</v>
      </c>
      <c r="L113" s="8">
        <v>2</v>
      </c>
      <c r="M113" s="8">
        <v>2</v>
      </c>
      <c r="N113" s="8" t="s">
        <v>607</v>
      </c>
      <c r="O113" s="8">
        <v>2</v>
      </c>
      <c r="P113" s="8">
        <v>0</v>
      </c>
      <c r="Q113" s="8">
        <v>2</v>
      </c>
      <c r="R113" s="8">
        <v>0</v>
      </c>
      <c r="S113" s="8">
        <v>1</v>
      </c>
      <c r="T113" s="8">
        <v>1</v>
      </c>
      <c r="U113" s="8">
        <v>1</v>
      </c>
      <c r="V113" s="8">
        <v>2</v>
      </c>
      <c r="W113" s="8">
        <v>2</v>
      </c>
      <c r="X113" s="8">
        <v>2</v>
      </c>
      <c r="Y113" s="8" t="s"/>
      <c r="Z113" s="5" t="s"/>
    </row>
    <row r="114" spans="1:26">
      <c r="A114" s="9" t="str">
        <f>=样本清单!A114</f>
        <v>M5_P1_05</v>
      </c>
      <c r="B114" s="9" t="str">
        <f>=样本清单!B114</f>
        <v>M5</v>
      </c>
      <c r="C114" s="9" t="str">
        <f>=样本清单!C114</f>
        <v>Seedream 5.0 Lite</v>
      </c>
      <c r="D114" s="9" t="str">
        <f>=样本清单!D114</f>
        <v>P1</v>
      </c>
      <c r="E114" s="9">
        <f>=样本清单!F114</f>
        <v>5</v>
      </c>
      <c r="F114" s="8">
        <v>1</v>
      </c>
      <c r="G114" s="8">
        <v>0</v>
      </c>
      <c r="H114" s="8">
        <v>1</v>
      </c>
      <c r="I114" s="8">
        <v>0</v>
      </c>
      <c r="J114" s="8">
        <v>2</v>
      </c>
      <c r="K114" s="8">
        <v>0</v>
      </c>
      <c r="L114" s="8">
        <v>0</v>
      </c>
      <c r="M114" s="8">
        <v>1</v>
      </c>
      <c r="N114" s="8">
        <v>2</v>
      </c>
      <c r="O114" s="8">
        <v>2</v>
      </c>
      <c r="P114" s="8">
        <v>0</v>
      </c>
      <c r="Q114" s="8">
        <v>0</v>
      </c>
      <c r="R114" s="8">
        <v>0</v>
      </c>
      <c r="S114" s="8">
        <v>1</v>
      </c>
      <c r="T114" s="8">
        <v>1</v>
      </c>
      <c r="U114" s="8">
        <v>1</v>
      </c>
      <c r="V114" s="8">
        <v>1</v>
      </c>
      <c r="W114" s="8">
        <v>2</v>
      </c>
      <c r="X114" s="8">
        <v>1</v>
      </c>
      <c r="Y114" s="8" t="s"/>
      <c r="Z114" s="5" t="s"/>
    </row>
    <row r="115" spans="1:26">
      <c r="A115" s="9" t="str">
        <f>=样本清单!A115</f>
        <v>M5_P1_06</v>
      </c>
      <c r="B115" s="9" t="str">
        <f>=样本清单!B115</f>
        <v>M5</v>
      </c>
      <c r="C115" s="9" t="str">
        <f>=样本清单!C115</f>
        <v>Seedream 5.0 Lite</v>
      </c>
      <c r="D115" s="9" t="str">
        <f>=样本清单!D115</f>
        <v>P1</v>
      </c>
      <c r="E115" s="9">
        <f>=样本清单!F115</f>
        <v>6</v>
      </c>
      <c r="F115" s="8">
        <v>2</v>
      </c>
      <c r="G115" s="8">
        <v>2</v>
      </c>
      <c r="H115" s="8">
        <v>2</v>
      </c>
      <c r="I115" s="8">
        <v>1</v>
      </c>
      <c r="J115" s="8">
        <v>1</v>
      </c>
      <c r="K115" s="8">
        <v>0</v>
      </c>
      <c r="L115" s="8">
        <v>2</v>
      </c>
      <c r="M115" s="8">
        <v>2</v>
      </c>
      <c r="N115" s="8">
        <v>0</v>
      </c>
      <c r="O115" s="8">
        <v>0</v>
      </c>
      <c r="P115" s="8">
        <v>0</v>
      </c>
      <c r="Q115" s="8">
        <v>1</v>
      </c>
      <c r="R115" s="8">
        <v>1</v>
      </c>
      <c r="S115" s="8">
        <v>1</v>
      </c>
      <c r="T115" s="8">
        <v>1</v>
      </c>
      <c r="U115" s="8">
        <v>2</v>
      </c>
      <c r="V115" s="8">
        <v>1</v>
      </c>
      <c r="W115" s="8">
        <v>1</v>
      </c>
      <c r="X115" s="8">
        <v>2</v>
      </c>
      <c r="Y115" s="8" t="s"/>
      <c r="Z115" s="5" t="s"/>
    </row>
    <row r="116" spans="1:26">
      <c r="A116" s="9" t="str">
        <f>=样本清单!A116</f>
        <v>M5_P1_07</v>
      </c>
      <c r="B116" s="9" t="str">
        <f>=样本清单!B116</f>
        <v>M5</v>
      </c>
      <c r="C116" s="9" t="str">
        <f>=样本清单!C116</f>
        <v>Seedream 5.0 Lite</v>
      </c>
      <c r="D116" s="9" t="str">
        <f>=样本清单!D116</f>
        <v>P1</v>
      </c>
      <c r="E116" s="9">
        <f>=样本清单!F116</f>
        <v>7</v>
      </c>
      <c r="F116" s="8">
        <v>1</v>
      </c>
      <c r="G116" s="8">
        <v>0</v>
      </c>
      <c r="H116" s="8">
        <v>2</v>
      </c>
      <c r="I116" s="8">
        <v>1</v>
      </c>
      <c r="J116" s="8">
        <v>0</v>
      </c>
      <c r="K116" s="8">
        <v>0</v>
      </c>
      <c r="L116" s="8">
        <v>2</v>
      </c>
      <c r="M116" s="8">
        <v>2</v>
      </c>
      <c r="N116" s="8" t="s">
        <v>607</v>
      </c>
      <c r="O116" s="8">
        <v>2</v>
      </c>
      <c r="P116" s="8">
        <v>0</v>
      </c>
      <c r="Q116" s="8">
        <v>0</v>
      </c>
      <c r="R116" s="8">
        <v>1</v>
      </c>
      <c r="S116" s="8">
        <v>2</v>
      </c>
      <c r="T116" s="8">
        <v>1</v>
      </c>
      <c r="U116" s="8">
        <v>1</v>
      </c>
      <c r="V116" s="8">
        <v>1</v>
      </c>
      <c r="W116" s="8">
        <v>2</v>
      </c>
      <c r="X116" s="8">
        <v>2</v>
      </c>
      <c r="Y116" s="8" t="s"/>
      <c r="Z116" s="5" t="s"/>
    </row>
    <row r="117" spans="1:26">
      <c r="A117" s="9" t="str">
        <f>=样本清单!A117</f>
        <v>M5_P1_08</v>
      </c>
      <c r="B117" s="9" t="str">
        <f>=样本清单!B117</f>
        <v>M5</v>
      </c>
      <c r="C117" s="9" t="str">
        <f>=样本清单!C117</f>
        <v>Seedream 5.0 Lite</v>
      </c>
      <c r="D117" s="9" t="str">
        <f>=样本清单!D117</f>
        <v>P1</v>
      </c>
      <c r="E117" s="9">
        <f>=样本清单!F117</f>
        <v>8</v>
      </c>
      <c r="F117" s="8">
        <v>2</v>
      </c>
      <c r="G117" s="8">
        <v>2</v>
      </c>
      <c r="H117" s="8">
        <v>2</v>
      </c>
      <c r="I117" s="8">
        <v>0</v>
      </c>
      <c r="J117" s="8">
        <v>2</v>
      </c>
      <c r="K117" s="8">
        <v>2</v>
      </c>
      <c r="L117" s="8">
        <v>2</v>
      </c>
      <c r="M117" s="8">
        <v>2</v>
      </c>
      <c r="N117" s="8" t="s">
        <v>607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8">
        <v>2</v>
      </c>
      <c r="U117" s="8">
        <v>1</v>
      </c>
      <c r="V117" s="8">
        <v>1</v>
      </c>
      <c r="W117" s="8">
        <v>2</v>
      </c>
      <c r="X117" s="8">
        <v>2</v>
      </c>
      <c r="Y117" s="8" t="s"/>
      <c r="Z117" s="5" t="s"/>
    </row>
    <row r="118" spans="1:26">
      <c r="A118" s="9" t="str">
        <f>=样本清单!A118</f>
        <v>M5_P1_09</v>
      </c>
      <c r="B118" s="9" t="str">
        <f>=样本清单!B118</f>
        <v>M5</v>
      </c>
      <c r="C118" s="9" t="str">
        <f>=样本清单!C118</f>
        <v>Seedream 5.0 Lite</v>
      </c>
      <c r="D118" s="9" t="str">
        <f>=样本清单!D118</f>
        <v>P1</v>
      </c>
      <c r="E118" s="9">
        <f>=样本清单!F118</f>
        <v>9</v>
      </c>
      <c r="F118" s="8">
        <v>1</v>
      </c>
      <c r="G118" s="8">
        <v>2</v>
      </c>
      <c r="H118" s="8">
        <v>2</v>
      </c>
      <c r="I118" s="8">
        <v>1</v>
      </c>
      <c r="J118" s="8">
        <v>0</v>
      </c>
      <c r="K118" s="8">
        <v>0</v>
      </c>
      <c r="L118" s="8">
        <v>1</v>
      </c>
      <c r="M118" s="8">
        <v>2</v>
      </c>
      <c r="N118" s="8" t="s">
        <v>607</v>
      </c>
      <c r="O118" s="8">
        <v>2</v>
      </c>
      <c r="P118" s="8">
        <v>0</v>
      </c>
      <c r="Q118" s="8">
        <v>0</v>
      </c>
      <c r="R118" s="8">
        <v>0</v>
      </c>
      <c r="S118" s="8">
        <v>1</v>
      </c>
      <c r="T118" s="8">
        <v>1</v>
      </c>
      <c r="U118" s="8">
        <v>1</v>
      </c>
      <c r="V118" s="8">
        <v>2</v>
      </c>
      <c r="W118" s="8">
        <v>2</v>
      </c>
      <c r="X118" s="8">
        <v>2</v>
      </c>
      <c r="Y118" s="8" t="s"/>
      <c r="Z118" s="5" t="s"/>
    </row>
    <row r="119" spans="1:26">
      <c r="A119" s="9" t="str">
        <f>=样本清单!A119</f>
        <v>M5_P2_01</v>
      </c>
      <c r="B119" s="9" t="str">
        <f>=样本清单!B119</f>
        <v>M5</v>
      </c>
      <c r="C119" s="9" t="str">
        <f>=样本清单!C119</f>
        <v>Seedream 5.0 Lite</v>
      </c>
      <c r="D119" s="9" t="str">
        <f>=样本清单!D119</f>
        <v>P2</v>
      </c>
      <c r="E119" s="9">
        <f>=样本清单!F119</f>
        <v>1</v>
      </c>
      <c r="F119" s="8">
        <v>1</v>
      </c>
      <c r="G119" s="8">
        <v>1</v>
      </c>
      <c r="H119" s="8">
        <v>2</v>
      </c>
      <c r="I119" s="8">
        <v>1</v>
      </c>
      <c r="J119" s="8">
        <v>0</v>
      </c>
      <c r="K119" s="8">
        <v>1</v>
      </c>
      <c r="L119" s="8">
        <v>2</v>
      </c>
      <c r="M119" s="8">
        <v>2</v>
      </c>
      <c r="N119" s="8" t="s">
        <v>607</v>
      </c>
      <c r="O119" s="8">
        <v>2</v>
      </c>
      <c r="P119" s="8">
        <v>0</v>
      </c>
      <c r="Q119" s="8">
        <v>0</v>
      </c>
      <c r="R119" s="8">
        <v>0</v>
      </c>
      <c r="S119" s="8">
        <v>2</v>
      </c>
      <c r="T119" s="8">
        <v>1</v>
      </c>
      <c r="U119" s="8">
        <v>1</v>
      </c>
      <c r="V119" s="8">
        <v>1</v>
      </c>
      <c r="W119" s="8">
        <v>2</v>
      </c>
      <c r="X119" s="8">
        <v>1</v>
      </c>
      <c r="Y119" s="8" t="s"/>
      <c r="Z119" s="5" t="s"/>
    </row>
    <row r="120" spans="1:26">
      <c r="A120" s="9" t="str">
        <f>=样本清单!A120</f>
        <v>M5_P2_02</v>
      </c>
      <c r="B120" s="9" t="str">
        <f>=样本清单!B120</f>
        <v>M5</v>
      </c>
      <c r="C120" s="9" t="str">
        <f>=样本清单!C120</f>
        <v>Seedream 5.0 Lite</v>
      </c>
      <c r="D120" s="9" t="str">
        <f>=样本清单!D120</f>
        <v>P2</v>
      </c>
      <c r="E120" s="9">
        <f>=样本清单!F120</f>
        <v>2</v>
      </c>
      <c r="F120" s="8">
        <v>1</v>
      </c>
      <c r="G120" s="8">
        <v>2</v>
      </c>
      <c r="H120" s="8">
        <v>2</v>
      </c>
      <c r="I120" s="8">
        <v>2</v>
      </c>
      <c r="J120" s="8">
        <v>1</v>
      </c>
      <c r="K120" s="8">
        <v>0</v>
      </c>
      <c r="L120" s="8">
        <v>1</v>
      </c>
      <c r="M120" s="8">
        <v>2</v>
      </c>
      <c r="N120" s="8">
        <v>1</v>
      </c>
      <c r="O120" s="8">
        <v>2</v>
      </c>
      <c r="P120" s="8">
        <v>0</v>
      </c>
      <c r="Q120" s="8">
        <v>0</v>
      </c>
      <c r="R120" s="8">
        <v>1</v>
      </c>
      <c r="S120" s="8">
        <v>2</v>
      </c>
      <c r="T120" s="8">
        <v>2</v>
      </c>
      <c r="U120" s="8">
        <v>1</v>
      </c>
      <c r="V120" s="8">
        <v>1</v>
      </c>
      <c r="W120" s="8">
        <v>2</v>
      </c>
      <c r="X120" s="8">
        <v>1</v>
      </c>
      <c r="Y120" s="8" t="s"/>
      <c r="Z120" s="5" t="s"/>
    </row>
    <row r="121" spans="1:26">
      <c r="A121" s="9" t="str">
        <f>=样本清单!A121</f>
        <v>M5_P2_03</v>
      </c>
      <c r="B121" s="9" t="str">
        <f>=样本清单!B121</f>
        <v>M5</v>
      </c>
      <c r="C121" s="9" t="str">
        <f>=样本清单!C121</f>
        <v>Seedream 5.0 Lite</v>
      </c>
      <c r="D121" s="9" t="str">
        <f>=样本清单!D121</f>
        <v>P2</v>
      </c>
      <c r="E121" s="9">
        <f>=样本清单!F121</f>
        <v>3</v>
      </c>
      <c r="F121" s="8">
        <v>1</v>
      </c>
      <c r="G121" s="8">
        <v>0</v>
      </c>
      <c r="H121" s="8">
        <v>1</v>
      </c>
      <c r="I121" s="8">
        <v>2</v>
      </c>
      <c r="J121" s="8">
        <v>2</v>
      </c>
      <c r="K121" s="8">
        <v>2</v>
      </c>
      <c r="L121" s="8">
        <v>2</v>
      </c>
      <c r="M121" s="8">
        <v>2</v>
      </c>
      <c r="N121" s="8">
        <v>2</v>
      </c>
      <c r="O121" s="8">
        <v>1</v>
      </c>
      <c r="P121" s="8">
        <v>0</v>
      </c>
      <c r="Q121" s="8">
        <v>0</v>
      </c>
      <c r="R121" s="8">
        <v>1</v>
      </c>
      <c r="S121" s="8">
        <v>0</v>
      </c>
      <c r="T121" s="8">
        <v>0</v>
      </c>
      <c r="U121" s="8">
        <v>0</v>
      </c>
      <c r="V121" s="8">
        <v>1</v>
      </c>
      <c r="W121" s="8">
        <v>2</v>
      </c>
      <c r="X121" s="8">
        <v>1</v>
      </c>
      <c r="Y121" s="8" t="s"/>
      <c r="Z121" s="5" t="s"/>
    </row>
    <row r="122" spans="1:26">
      <c r="A122" s="9" t="str">
        <f>=样本清单!A122</f>
        <v>M5_P2_04</v>
      </c>
      <c r="B122" s="9" t="str">
        <f>=样本清单!B122</f>
        <v>M5</v>
      </c>
      <c r="C122" s="9" t="str">
        <f>=样本清单!C122</f>
        <v>Seedream 5.0 Lite</v>
      </c>
      <c r="D122" s="9" t="str">
        <f>=样本清单!D122</f>
        <v>P2</v>
      </c>
      <c r="E122" s="9">
        <f>=样本清单!F122</f>
        <v>4</v>
      </c>
      <c r="F122" s="8">
        <v>1</v>
      </c>
      <c r="G122" s="8">
        <v>2</v>
      </c>
      <c r="H122" s="8">
        <v>2</v>
      </c>
      <c r="I122" s="8">
        <v>1</v>
      </c>
      <c r="J122" s="8">
        <v>0</v>
      </c>
      <c r="K122" s="8">
        <v>0</v>
      </c>
      <c r="L122" s="8">
        <v>2</v>
      </c>
      <c r="M122" s="8">
        <v>2</v>
      </c>
      <c r="N122" s="8">
        <v>0</v>
      </c>
      <c r="O122" s="8">
        <v>2</v>
      </c>
      <c r="P122" s="8">
        <v>0</v>
      </c>
      <c r="Q122" s="8">
        <v>0</v>
      </c>
      <c r="R122" s="8">
        <v>0</v>
      </c>
      <c r="S122" s="8">
        <v>2</v>
      </c>
      <c r="T122" s="8">
        <v>0</v>
      </c>
      <c r="U122" s="8">
        <v>1</v>
      </c>
      <c r="V122" s="8">
        <v>1</v>
      </c>
      <c r="W122" s="8">
        <v>2</v>
      </c>
      <c r="X122" s="8">
        <v>1</v>
      </c>
      <c r="Y122" s="8" t="s"/>
      <c r="Z122" s="5" t="s"/>
    </row>
    <row r="123" spans="1:26">
      <c r="A123" s="9" t="str">
        <f>=样本清单!A123</f>
        <v>M5_P2_05</v>
      </c>
      <c r="B123" s="9" t="str">
        <f>=样本清单!B123</f>
        <v>M5</v>
      </c>
      <c r="C123" s="9" t="str">
        <f>=样本清单!C123</f>
        <v>Seedream 5.0 Lite</v>
      </c>
      <c r="D123" s="9" t="str">
        <f>=样本清单!D123</f>
        <v>P2</v>
      </c>
      <c r="E123" s="9">
        <f>=样本清单!F123</f>
        <v>5</v>
      </c>
      <c r="F123" s="8">
        <v>1</v>
      </c>
      <c r="G123" s="8">
        <v>2</v>
      </c>
      <c r="H123" s="8">
        <v>2</v>
      </c>
      <c r="I123" s="8">
        <v>1</v>
      </c>
      <c r="J123" s="8">
        <v>1</v>
      </c>
      <c r="K123" s="8">
        <v>2</v>
      </c>
      <c r="L123" s="8">
        <v>2</v>
      </c>
      <c r="M123" s="8">
        <v>2</v>
      </c>
      <c r="N123" s="8" t="s">
        <v>607</v>
      </c>
      <c r="O123" s="8">
        <v>1</v>
      </c>
      <c r="P123" s="8">
        <v>0</v>
      </c>
      <c r="Q123" s="8">
        <v>0</v>
      </c>
      <c r="R123" s="8">
        <v>0</v>
      </c>
      <c r="S123" s="8">
        <v>2</v>
      </c>
      <c r="T123" s="8">
        <v>1</v>
      </c>
      <c r="U123" s="8">
        <v>1</v>
      </c>
      <c r="V123" s="8">
        <v>1</v>
      </c>
      <c r="W123" s="8">
        <v>2</v>
      </c>
      <c r="X123" s="8">
        <v>1</v>
      </c>
      <c r="Y123" s="8" t="s"/>
      <c r="Z123" s="5" t="s"/>
    </row>
    <row r="124" spans="1:26">
      <c r="A124" s="9" t="str">
        <f>=样本清单!A124</f>
        <v>M5_P2_06</v>
      </c>
      <c r="B124" s="9" t="str">
        <f>=样本清单!B124</f>
        <v>M5</v>
      </c>
      <c r="C124" s="9" t="str">
        <f>=样本清单!C124</f>
        <v>Seedream 5.0 Lite</v>
      </c>
      <c r="D124" s="9" t="str">
        <f>=样本清单!D124</f>
        <v>P2</v>
      </c>
      <c r="E124" s="9">
        <f>=样本清单!F124</f>
        <v>6</v>
      </c>
      <c r="F124" s="8">
        <v>2</v>
      </c>
      <c r="G124" s="8">
        <v>2</v>
      </c>
      <c r="H124" s="8">
        <v>2</v>
      </c>
      <c r="I124" s="8">
        <v>2</v>
      </c>
      <c r="J124" s="8">
        <v>1</v>
      </c>
      <c r="K124" s="8">
        <v>2</v>
      </c>
      <c r="L124" s="8">
        <v>2</v>
      </c>
      <c r="M124" s="8">
        <v>2</v>
      </c>
      <c r="N124" s="8" t="s">
        <v>607</v>
      </c>
      <c r="O124" s="8">
        <v>2</v>
      </c>
      <c r="P124" s="8">
        <v>0</v>
      </c>
      <c r="Q124" s="8">
        <v>0</v>
      </c>
      <c r="R124" s="8">
        <v>0</v>
      </c>
      <c r="S124" s="8">
        <v>2</v>
      </c>
      <c r="T124" s="8">
        <v>1</v>
      </c>
      <c r="U124" s="8">
        <v>1</v>
      </c>
      <c r="V124" s="8">
        <v>1</v>
      </c>
      <c r="W124" s="8">
        <v>2</v>
      </c>
      <c r="X124" s="8">
        <v>2</v>
      </c>
      <c r="Y124" s="8" t="s"/>
      <c r="Z124" s="5" t="s"/>
    </row>
    <row r="125" spans="1:26">
      <c r="A125" s="9" t="str">
        <f>=样本清单!A125</f>
        <v>M5_P2_07</v>
      </c>
      <c r="B125" s="9" t="str">
        <f>=样本清单!B125</f>
        <v>M5</v>
      </c>
      <c r="C125" s="9" t="str">
        <f>=样本清单!C125</f>
        <v>Seedream 5.0 Lite</v>
      </c>
      <c r="D125" s="9" t="str">
        <f>=样本清单!D125</f>
        <v>P2</v>
      </c>
      <c r="E125" s="9">
        <f>=样本清单!F125</f>
        <v>7</v>
      </c>
      <c r="F125" s="8">
        <v>1</v>
      </c>
      <c r="G125" s="8">
        <v>2</v>
      </c>
      <c r="H125" s="8">
        <v>2</v>
      </c>
      <c r="I125" s="8">
        <v>1</v>
      </c>
      <c r="J125" s="8">
        <v>1</v>
      </c>
      <c r="K125" s="8">
        <v>0</v>
      </c>
      <c r="L125" s="8">
        <v>2</v>
      </c>
      <c r="M125" s="8">
        <v>2</v>
      </c>
      <c r="N125" s="8" t="s">
        <v>607</v>
      </c>
      <c r="O125" s="8">
        <v>2</v>
      </c>
      <c r="P125" s="8">
        <v>0</v>
      </c>
      <c r="Q125" s="8">
        <v>0</v>
      </c>
      <c r="R125" s="8">
        <v>0</v>
      </c>
      <c r="S125" s="8">
        <v>2</v>
      </c>
      <c r="T125" s="8">
        <v>1</v>
      </c>
      <c r="U125" s="8">
        <v>1</v>
      </c>
      <c r="V125" s="8">
        <v>1</v>
      </c>
      <c r="W125" s="8">
        <v>2</v>
      </c>
      <c r="X125" s="8">
        <v>1</v>
      </c>
      <c r="Y125" s="8" t="s"/>
      <c r="Z125" s="5" t="s"/>
    </row>
    <row r="126" spans="1:26">
      <c r="A126" s="9" t="str">
        <f>=样本清单!A126</f>
        <v>M5_P2_08</v>
      </c>
      <c r="B126" s="9" t="str">
        <f>=样本清单!B126</f>
        <v>M5</v>
      </c>
      <c r="C126" s="9" t="str">
        <f>=样本清单!C126</f>
        <v>Seedream 5.0 Lite</v>
      </c>
      <c r="D126" s="9" t="str">
        <f>=样本清单!D126</f>
        <v>P2</v>
      </c>
      <c r="E126" s="9">
        <f>=样本清单!F126</f>
        <v>8</v>
      </c>
      <c r="F126" s="8">
        <v>1</v>
      </c>
      <c r="G126" s="8">
        <v>2</v>
      </c>
      <c r="H126" s="8">
        <v>2</v>
      </c>
      <c r="I126" s="8">
        <v>1</v>
      </c>
      <c r="J126" s="8">
        <v>1</v>
      </c>
      <c r="K126" s="8">
        <v>2</v>
      </c>
      <c r="L126" s="8">
        <v>2</v>
      </c>
      <c r="M126" s="8">
        <v>2</v>
      </c>
      <c r="N126" s="8" t="s">
        <v>607</v>
      </c>
      <c r="O126" s="8">
        <v>2</v>
      </c>
      <c r="P126" s="8">
        <v>0</v>
      </c>
      <c r="Q126" s="8">
        <v>0</v>
      </c>
      <c r="R126" s="8">
        <v>0</v>
      </c>
      <c r="S126" s="8">
        <v>2</v>
      </c>
      <c r="T126" s="8">
        <v>1</v>
      </c>
      <c r="U126" s="8">
        <v>1</v>
      </c>
      <c r="V126" s="8">
        <v>1</v>
      </c>
      <c r="W126" s="8">
        <v>2</v>
      </c>
      <c r="X126" s="8">
        <v>1</v>
      </c>
      <c r="Y126" s="8" t="s"/>
      <c r="Z126" s="5" t="s"/>
    </row>
    <row r="127" spans="1:26">
      <c r="A127" s="9" t="str">
        <f>=样本清单!A127</f>
        <v>M5_P2_09</v>
      </c>
      <c r="B127" s="9" t="str">
        <f>=样本清单!B127</f>
        <v>M5</v>
      </c>
      <c r="C127" s="9" t="str">
        <f>=样本清单!C127</f>
        <v>Seedream 5.0 Lite</v>
      </c>
      <c r="D127" s="9" t="str">
        <f>=样本清单!D127</f>
        <v>P2</v>
      </c>
      <c r="E127" s="9">
        <f>=样本清单!F127</f>
        <v>9</v>
      </c>
      <c r="F127" s="8">
        <v>2</v>
      </c>
      <c r="G127" s="8">
        <v>2</v>
      </c>
      <c r="H127" s="8">
        <v>2</v>
      </c>
      <c r="I127" s="8">
        <v>2</v>
      </c>
      <c r="J127" s="8">
        <v>2</v>
      </c>
      <c r="K127" s="8">
        <v>0</v>
      </c>
      <c r="L127" s="8">
        <v>2</v>
      </c>
      <c r="M127" s="8">
        <v>2</v>
      </c>
      <c r="N127" s="8" t="s">
        <v>607</v>
      </c>
      <c r="O127" s="8">
        <v>2</v>
      </c>
      <c r="P127" s="8">
        <v>0</v>
      </c>
      <c r="Q127" s="8">
        <v>0</v>
      </c>
      <c r="R127" s="8">
        <v>2</v>
      </c>
      <c r="S127" s="8">
        <v>2</v>
      </c>
      <c r="T127" s="8">
        <v>2</v>
      </c>
      <c r="U127" s="8">
        <v>1</v>
      </c>
      <c r="V127" s="8">
        <v>1</v>
      </c>
      <c r="W127" s="8">
        <v>2</v>
      </c>
      <c r="X127" s="8">
        <v>2</v>
      </c>
      <c r="Y127" s="8" t="s"/>
      <c r="Z127" s="5" t="s"/>
    </row>
    <row r="128" spans="1:26">
      <c r="A128" s="9" t="str">
        <f>=样本清单!A128</f>
        <v>M5_P3_01</v>
      </c>
      <c r="B128" s="9" t="str">
        <f>=样本清单!B128</f>
        <v>M5</v>
      </c>
      <c r="C128" s="9" t="str">
        <f>=样本清单!C128</f>
        <v>Seedream 5.0 Lite</v>
      </c>
      <c r="D128" s="9" t="str">
        <f>=样本清单!D128</f>
        <v>P3</v>
      </c>
      <c r="E128" s="9">
        <f>=样本清单!F128</f>
        <v>1</v>
      </c>
      <c r="F128" s="8">
        <v>1</v>
      </c>
      <c r="G128" s="8">
        <v>2</v>
      </c>
      <c r="H128" s="8">
        <v>2</v>
      </c>
      <c r="I128" s="8">
        <v>1</v>
      </c>
      <c r="J128" s="8">
        <v>1</v>
      </c>
      <c r="K128" s="8">
        <v>0</v>
      </c>
      <c r="L128" s="8">
        <v>2</v>
      </c>
      <c r="M128" s="8">
        <v>2</v>
      </c>
      <c r="N128" s="8" t="s">
        <v>607</v>
      </c>
      <c r="O128" s="8">
        <v>2</v>
      </c>
      <c r="P128" s="8">
        <v>0</v>
      </c>
      <c r="Q128" s="8">
        <v>0</v>
      </c>
      <c r="R128" s="8">
        <v>0</v>
      </c>
      <c r="S128" s="8">
        <v>1</v>
      </c>
      <c r="T128" s="8">
        <v>1</v>
      </c>
      <c r="U128" s="8">
        <v>0</v>
      </c>
      <c r="V128" s="8">
        <v>1</v>
      </c>
      <c r="W128" s="8">
        <v>2</v>
      </c>
      <c r="X128" s="8">
        <v>2</v>
      </c>
      <c r="Y128" s="8" t="s"/>
      <c r="Z128" s="5" t="s"/>
    </row>
    <row r="129" spans="1:26">
      <c r="A129" s="9" t="str">
        <f>=样本清单!A129</f>
        <v>M5_P3_02</v>
      </c>
      <c r="B129" s="9" t="str">
        <f>=样本清单!B129</f>
        <v>M5</v>
      </c>
      <c r="C129" s="9" t="str">
        <f>=样本清单!C129</f>
        <v>Seedream 5.0 Lite</v>
      </c>
      <c r="D129" s="9" t="str">
        <f>=样本清单!D129</f>
        <v>P3</v>
      </c>
      <c r="E129" s="9">
        <f>=样本清单!F129</f>
        <v>2</v>
      </c>
      <c r="F129" s="8">
        <v>1</v>
      </c>
      <c r="G129" s="8">
        <v>1</v>
      </c>
      <c r="H129" s="8">
        <v>2</v>
      </c>
      <c r="I129" s="8">
        <v>1</v>
      </c>
      <c r="J129" s="8">
        <v>1</v>
      </c>
      <c r="K129" s="8">
        <v>2</v>
      </c>
      <c r="L129" s="8">
        <v>2</v>
      </c>
      <c r="M129" s="8">
        <v>2</v>
      </c>
      <c r="N129" s="8">
        <v>2</v>
      </c>
      <c r="O129" s="8">
        <v>2</v>
      </c>
      <c r="P129" s="8">
        <v>0</v>
      </c>
      <c r="Q129" s="8">
        <v>0</v>
      </c>
      <c r="R129" s="8">
        <v>1</v>
      </c>
      <c r="S129" s="8">
        <v>2</v>
      </c>
      <c r="T129" s="8">
        <v>1</v>
      </c>
      <c r="U129" s="8">
        <v>1</v>
      </c>
      <c r="V129" s="8">
        <v>1</v>
      </c>
      <c r="W129" s="8">
        <v>2</v>
      </c>
      <c r="X129" s="8">
        <v>2</v>
      </c>
      <c r="Y129" s="8" t="s"/>
      <c r="Z129" s="5" t="s"/>
    </row>
    <row r="130" spans="1:26">
      <c r="A130" s="9" t="str">
        <f>=样本清单!A130</f>
        <v>M5_P3_03</v>
      </c>
      <c r="B130" s="9" t="str">
        <f>=样本清单!B130</f>
        <v>M5</v>
      </c>
      <c r="C130" s="9" t="str">
        <f>=样本清单!C130</f>
        <v>Seedream 5.0 Lite</v>
      </c>
      <c r="D130" s="9" t="str">
        <f>=样本清单!D130</f>
        <v>P3</v>
      </c>
      <c r="E130" s="9">
        <f>=样本清单!F130</f>
        <v>3</v>
      </c>
      <c r="F130" s="8">
        <v>2</v>
      </c>
      <c r="G130" s="8">
        <v>2</v>
      </c>
      <c r="H130" s="8">
        <v>2</v>
      </c>
      <c r="I130" s="8">
        <v>1</v>
      </c>
      <c r="J130" s="8">
        <v>2</v>
      </c>
      <c r="K130" s="8">
        <v>2</v>
      </c>
      <c r="L130" s="8">
        <v>2</v>
      </c>
      <c r="M130" s="8">
        <v>2</v>
      </c>
      <c r="N130" s="8">
        <v>2</v>
      </c>
      <c r="O130" s="8">
        <v>2</v>
      </c>
      <c r="P130" s="8">
        <v>0</v>
      </c>
      <c r="Q130" s="8">
        <v>0</v>
      </c>
      <c r="R130" s="8">
        <v>1</v>
      </c>
      <c r="S130" s="8">
        <v>2</v>
      </c>
      <c r="T130" s="8">
        <v>2</v>
      </c>
      <c r="U130" s="8">
        <v>2</v>
      </c>
      <c r="V130" s="8">
        <v>2</v>
      </c>
      <c r="W130" s="8">
        <v>2</v>
      </c>
      <c r="X130" s="8">
        <v>2</v>
      </c>
      <c r="Y130" s="8" t="s"/>
      <c r="Z130" s="5" t="s"/>
    </row>
    <row r="131" spans="1:26">
      <c r="A131" s="9" t="str">
        <f>=样本清单!A131</f>
        <v>M5_P3_04</v>
      </c>
      <c r="B131" s="9" t="str">
        <f>=样本清单!B131</f>
        <v>M5</v>
      </c>
      <c r="C131" s="9" t="str">
        <f>=样本清单!C131</f>
        <v>Seedream 5.0 Lite</v>
      </c>
      <c r="D131" s="9" t="str">
        <f>=样本清单!D131</f>
        <v>P3</v>
      </c>
      <c r="E131" s="9">
        <f>=样本清单!F131</f>
        <v>4</v>
      </c>
      <c r="F131" s="8">
        <v>2</v>
      </c>
      <c r="G131" s="8">
        <v>1</v>
      </c>
      <c r="H131" s="8">
        <v>1</v>
      </c>
      <c r="I131" s="8">
        <v>1</v>
      </c>
      <c r="J131" s="8">
        <v>1</v>
      </c>
      <c r="K131" s="8">
        <v>2</v>
      </c>
      <c r="L131" s="8">
        <v>1</v>
      </c>
      <c r="M131" s="8">
        <v>2</v>
      </c>
      <c r="N131" s="8">
        <v>2</v>
      </c>
      <c r="O131" s="8">
        <v>2</v>
      </c>
      <c r="P131" s="8">
        <v>0</v>
      </c>
      <c r="Q131" s="8">
        <v>0</v>
      </c>
      <c r="R131" s="8">
        <v>1</v>
      </c>
      <c r="S131" s="8">
        <v>2</v>
      </c>
      <c r="T131" s="8">
        <v>2</v>
      </c>
      <c r="U131" s="8">
        <v>1</v>
      </c>
      <c r="V131" s="8">
        <v>2</v>
      </c>
      <c r="W131" s="8">
        <v>2</v>
      </c>
      <c r="X131" s="8">
        <v>2</v>
      </c>
      <c r="Y131" s="8" t="s"/>
      <c r="Z131" s="5" t="s"/>
    </row>
    <row r="132" spans="1:26">
      <c r="A132" s="9" t="str">
        <f>=样本清单!A132</f>
        <v>M5_P3_05</v>
      </c>
      <c r="B132" s="9" t="str">
        <f>=样本清单!B132</f>
        <v>M5</v>
      </c>
      <c r="C132" s="9" t="str">
        <f>=样本清单!C132</f>
        <v>Seedream 5.0 Lite</v>
      </c>
      <c r="D132" s="9" t="str">
        <f>=样本清单!D132</f>
        <v>P3</v>
      </c>
      <c r="E132" s="9">
        <f>=样本清单!F132</f>
        <v>5</v>
      </c>
      <c r="F132" s="8">
        <v>1</v>
      </c>
      <c r="G132" s="8">
        <v>2</v>
      </c>
      <c r="H132" s="8">
        <v>2</v>
      </c>
      <c r="I132" s="8">
        <v>1</v>
      </c>
      <c r="J132" s="8">
        <v>2</v>
      </c>
      <c r="K132" s="8">
        <v>1</v>
      </c>
      <c r="L132" s="8">
        <v>2</v>
      </c>
      <c r="M132" s="8">
        <v>2</v>
      </c>
      <c r="N132" s="8">
        <v>2</v>
      </c>
      <c r="O132" s="8">
        <v>1</v>
      </c>
      <c r="P132" s="8">
        <v>0</v>
      </c>
      <c r="Q132" s="8">
        <v>0</v>
      </c>
      <c r="R132" s="8">
        <v>0</v>
      </c>
      <c r="S132" s="8">
        <v>1</v>
      </c>
      <c r="T132" s="8">
        <v>1</v>
      </c>
      <c r="U132" s="8">
        <v>1</v>
      </c>
      <c r="V132" s="8">
        <v>1</v>
      </c>
      <c r="W132" s="8">
        <v>1</v>
      </c>
      <c r="X132" s="8">
        <v>2</v>
      </c>
      <c r="Y132" s="8" t="s"/>
      <c r="Z132" s="5" t="s"/>
    </row>
    <row r="133" spans="1:26">
      <c r="A133" s="9" t="str">
        <f>=样本清单!A133</f>
        <v>M5_P3_06</v>
      </c>
      <c r="B133" s="9" t="str">
        <f>=样本清单!B133</f>
        <v>M5</v>
      </c>
      <c r="C133" s="9" t="str">
        <f>=样本清单!C133</f>
        <v>Seedream 5.0 Lite</v>
      </c>
      <c r="D133" s="9" t="str">
        <f>=样本清单!D133</f>
        <v>P3</v>
      </c>
      <c r="E133" s="9">
        <f>=样本清单!F133</f>
        <v>6</v>
      </c>
      <c r="F133" s="8">
        <v>2</v>
      </c>
      <c r="G133" s="8">
        <v>2</v>
      </c>
      <c r="H133" s="8">
        <v>2</v>
      </c>
      <c r="I133" s="8">
        <v>1</v>
      </c>
      <c r="J133" s="8">
        <v>1</v>
      </c>
      <c r="K133" s="8">
        <v>2</v>
      </c>
      <c r="L133" s="8">
        <v>2</v>
      </c>
      <c r="M133" s="8">
        <v>2</v>
      </c>
      <c r="N133" s="8">
        <v>2</v>
      </c>
      <c r="O133" s="8">
        <v>2</v>
      </c>
      <c r="P133" s="8">
        <v>0</v>
      </c>
      <c r="Q133" s="8">
        <v>0</v>
      </c>
      <c r="R133" s="8">
        <v>1</v>
      </c>
      <c r="S133" s="8">
        <v>2</v>
      </c>
      <c r="T133" s="8">
        <v>1</v>
      </c>
      <c r="U133" s="8">
        <v>1</v>
      </c>
      <c r="V133" s="8">
        <v>2</v>
      </c>
      <c r="W133" s="8">
        <v>2</v>
      </c>
      <c r="X133" s="8">
        <v>2</v>
      </c>
      <c r="Y133" s="8" t="s"/>
      <c r="Z133" s="5" t="s"/>
    </row>
    <row r="134" spans="1:26">
      <c r="A134" s="9" t="str">
        <f>=样本清单!A134</f>
        <v>M5_P3_07</v>
      </c>
      <c r="B134" s="9" t="str">
        <f>=样本清单!B134</f>
        <v>M5</v>
      </c>
      <c r="C134" s="9" t="str">
        <f>=样本清单!C134</f>
        <v>Seedream 5.0 Lite</v>
      </c>
      <c r="D134" s="9" t="str">
        <f>=样本清单!D134</f>
        <v>P3</v>
      </c>
      <c r="E134" s="9">
        <f>=样本清单!F134</f>
        <v>7</v>
      </c>
      <c r="F134" s="8">
        <v>1</v>
      </c>
      <c r="G134" s="8">
        <v>1</v>
      </c>
      <c r="H134" s="8">
        <v>2</v>
      </c>
      <c r="I134" s="8">
        <v>2</v>
      </c>
      <c r="J134" s="8">
        <v>1</v>
      </c>
      <c r="K134" s="8">
        <v>2</v>
      </c>
      <c r="L134" s="8">
        <v>2</v>
      </c>
      <c r="M134" s="8">
        <v>2</v>
      </c>
      <c r="N134" s="8">
        <v>2</v>
      </c>
      <c r="O134" s="8">
        <v>2</v>
      </c>
      <c r="P134" s="8">
        <v>0</v>
      </c>
      <c r="Q134" s="8">
        <v>0</v>
      </c>
      <c r="R134" s="8">
        <v>0</v>
      </c>
      <c r="S134" s="8">
        <v>1</v>
      </c>
      <c r="T134" s="8">
        <v>1</v>
      </c>
      <c r="U134" s="8">
        <v>1</v>
      </c>
      <c r="V134" s="8">
        <v>1</v>
      </c>
      <c r="W134" s="8">
        <v>2</v>
      </c>
      <c r="X134" s="8">
        <v>1</v>
      </c>
      <c r="Y134" s="8" t="s"/>
      <c r="Z134" s="5" t="s"/>
    </row>
    <row r="135" spans="1:26">
      <c r="A135" s="9" t="str">
        <f>=样本清单!A135</f>
        <v>M5_P3_08</v>
      </c>
      <c r="B135" s="9" t="str">
        <f>=样本清单!B135</f>
        <v>M5</v>
      </c>
      <c r="C135" s="9" t="str">
        <f>=样本清单!C135</f>
        <v>Seedream 5.0 Lite</v>
      </c>
      <c r="D135" s="9" t="str">
        <f>=样本清单!D135</f>
        <v>P3</v>
      </c>
      <c r="E135" s="9">
        <f>=样本清单!F135</f>
        <v>8</v>
      </c>
      <c r="F135" s="8">
        <v>1</v>
      </c>
      <c r="G135" s="8">
        <v>2</v>
      </c>
      <c r="H135" s="8">
        <v>2</v>
      </c>
      <c r="I135" s="8">
        <v>1</v>
      </c>
      <c r="J135" s="8">
        <v>1</v>
      </c>
      <c r="K135" s="8">
        <v>2</v>
      </c>
      <c r="L135" s="8" t="s">
        <v>607</v>
      </c>
      <c r="M135" s="8">
        <v>2</v>
      </c>
      <c r="N135" s="8">
        <v>1</v>
      </c>
      <c r="O135" s="8">
        <v>2</v>
      </c>
      <c r="P135" s="8">
        <v>0</v>
      </c>
      <c r="Q135" s="8">
        <v>0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8">
        <v>2</v>
      </c>
      <c r="X135" s="8">
        <v>1</v>
      </c>
      <c r="Y135" s="8" t="s"/>
      <c r="Z135" s="5" t="s"/>
    </row>
    <row r="136" spans="1:26">
      <c r="A136" s="9" t="str">
        <f>=样本清单!A136</f>
        <v>M5_P3_09</v>
      </c>
      <c r="B136" s="9" t="str">
        <f>=样本清单!B136</f>
        <v>M5</v>
      </c>
      <c r="C136" s="9" t="str">
        <f>=样本清单!C136</f>
        <v>Seedream 5.0 Lite</v>
      </c>
      <c r="D136" s="9" t="str">
        <f>=样本清单!D136</f>
        <v>P3</v>
      </c>
      <c r="E136" s="9">
        <f>=样本清单!F136</f>
        <v>9</v>
      </c>
      <c r="F136" s="8">
        <v>2</v>
      </c>
      <c r="G136" s="8">
        <v>2</v>
      </c>
      <c r="H136" s="8">
        <v>2</v>
      </c>
      <c r="I136" s="8">
        <v>1</v>
      </c>
      <c r="J136" s="8">
        <v>2</v>
      </c>
      <c r="K136" s="8">
        <v>1</v>
      </c>
      <c r="L136" s="8">
        <v>2</v>
      </c>
      <c r="M136" s="8">
        <v>2</v>
      </c>
      <c r="N136" s="8">
        <v>1</v>
      </c>
      <c r="O136" s="8">
        <v>2</v>
      </c>
      <c r="P136" s="8">
        <v>0</v>
      </c>
      <c r="Q136" s="8">
        <v>0</v>
      </c>
      <c r="R136" s="8">
        <v>0</v>
      </c>
      <c r="S136" s="8">
        <v>2</v>
      </c>
      <c r="T136" s="8">
        <v>2</v>
      </c>
      <c r="U136" s="8">
        <v>1</v>
      </c>
      <c r="V136" s="8">
        <v>1</v>
      </c>
      <c r="W136" s="8">
        <v>1</v>
      </c>
      <c r="X136" s="8">
        <v>1</v>
      </c>
      <c r="Y136" s="8" t="s"/>
      <c r="Z136" s="5" t="s"/>
    </row>
    <row r="137" spans="1:26">
      <c r="A137" s="9" t="str">
        <f>=样本清单!A137</f>
        <v>M6_P1_01</v>
      </c>
      <c r="B137" s="9" t="str">
        <f>=样本清单!B137</f>
        <v>M6</v>
      </c>
      <c r="C137" s="9" t="str">
        <f>=样本清单!C137</f>
        <v>HunyuanImage-3.0</v>
      </c>
      <c r="D137" s="9" t="str">
        <f>=样本清单!D137</f>
        <v>P1</v>
      </c>
      <c r="E137" s="9">
        <f>=样本清单!F137</f>
        <v>1</v>
      </c>
      <c r="F137" s="8">
        <v>2</v>
      </c>
      <c r="G137" s="8">
        <v>1</v>
      </c>
      <c r="H137" s="8">
        <v>2</v>
      </c>
      <c r="I137" s="8">
        <v>2</v>
      </c>
      <c r="J137" s="8">
        <v>1</v>
      </c>
      <c r="K137" s="8">
        <v>2</v>
      </c>
      <c r="L137" s="8">
        <v>2</v>
      </c>
      <c r="M137" s="8">
        <v>2</v>
      </c>
      <c r="N137" s="8" t="s">
        <v>607</v>
      </c>
      <c r="O137" s="8">
        <v>2</v>
      </c>
      <c r="P137" s="8">
        <v>2</v>
      </c>
      <c r="Q137" s="8">
        <v>2</v>
      </c>
      <c r="R137" s="8">
        <v>2</v>
      </c>
      <c r="S137" s="8">
        <v>2</v>
      </c>
      <c r="T137" s="8">
        <v>2</v>
      </c>
      <c r="U137" s="8">
        <v>0</v>
      </c>
      <c r="V137" s="8">
        <v>2</v>
      </c>
      <c r="W137" s="8">
        <v>2</v>
      </c>
      <c r="X137" s="8">
        <v>2</v>
      </c>
      <c r="Y137" s="8" t="s"/>
      <c r="Z137" s="5" t="s"/>
    </row>
    <row r="138" spans="1:26">
      <c r="A138" s="9" t="str">
        <f>=样本清单!A138</f>
        <v>M6_P1_02</v>
      </c>
      <c r="B138" s="9" t="str">
        <f>=样本清单!B138</f>
        <v>M6</v>
      </c>
      <c r="C138" s="9" t="str">
        <f>=样本清单!C138</f>
        <v>HunyuanImage-3.0</v>
      </c>
      <c r="D138" s="9" t="str">
        <f>=样本清单!D138</f>
        <v>P1</v>
      </c>
      <c r="E138" s="9">
        <f>=样本清单!F138</f>
        <v>2</v>
      </c>
      <c r="F138" s="8">
        <v>2</v>
      </c>
      <c r="G138" s="8">
        <v>1</v>
      </c>
      <c r="H138" s="8">
        <v>2</v>
      </c>
      <c r="I138" s="8">
        <v>2</v>
      </c>
      <c r="J138" s="8">
        <v>2</v>
      </c>
      <c r="K138" s="8">
        <v>2</v>
      </c>
      <c r="L138" s="8">
        <v>2</v>
      </c>
      <c r="M138" s="8">
        <v>2</v>
      </c>
      <c r="N138" s="8" t="s">
        <v>607</v>
      </c>
      <c r="O138" s="8">
        <v>2</v>
      </c>
      <c r="P138" s="8">
        <v>2</v>
      </c>
      <c r="Q138" s="8">
        <v>2</v>
      </c>
      <c r="R138" s="8">
        <v>2</v>
      </c>
      <c r="S138" s="8">
        <v>2</v>
      </c>
      <c r="T138" s="8">
        <v>1</v>
      </c>
      <c r="U138" s="8">
        <v>1</v>
      </c>
      <c r="V138" s="8">
        <v>2</v>
      </c>
      <c r="W138" s="8">
        <v>2</v>
      </c>
      <c r="X138" s="8">
        <v>2</v>
      </c>
      <c r="Y138" s="8" t="s"/>
      <c r="Z138" s="5" t="s"/>
    </row>
    <row r="139" spans="1:26">
      <c r="A139" s="9" t="str">
        <f>=样本清单!A139</f>
        <v>M6_P1_03</v>
      </c>
      <c r="B139" s="9" t="str">
        <f>=样本清单!B139</f>
        <v>M6</v>
      </c>
      <c r="C139" s="9" t="str">
        <f>=样本清单!C139</f>
        <v>HunyuanImage-3.0</v>
      </c>
      <c r="D139" s="9" t="str">
        <f>=样本清单!D139</f>
        <v>P1</v>
      </c>
      <c r="E139" s="9">
        <f>=样本清单!F139</f>
        <v>3</v>
      </c>
      <c r="F139" s="8">
        <v>2</v>
      </c>
      <c r="G139" s="8">
        <v>1</v>
      </c>
      <c r="H139" s="8">
        <v>2</v>
      </c>
      <c r="I139" s="8">
        <v>2</v>
      </c>
      <c r="J139" s="8">
        <v>2</v>
      </c>
      <c r="K139" s="8">
        <v>2</v>
      </c>
      <c r="L139" s="8">
        <v>2</v>
      </c>
      <c r="M139" s="8">
        <v>2</v>
      </c>
      <c r="N139" s="8">
        <v>0</v>
      </c>
      <c r="O139" s="8">
        <v>2</v>
      </c>
      <c r="P139" s="8">
        <v>2</v>
      </c>
      <c r="Q139" s="8">
        <v>2</v>
      </c>
      <c r="R139" s="8">
        <v>2</v>
      </c>
      <c r="S139" s="8">
        <v>2</v>
      </c>
      <c r="T139" s="8">
        <v>1</v>
      </c>
      <c r="U139" s="8">
        <v>1</v>
      </c>
      <c r="V139" s="8">
        <v>2</v>
      </c>
      <c r="W139" s="8">
        <v>1</v>
      </c>
      <c r="X139" s="8">
        <v>2</v>
      </c>
      <c r="Y139" s="8" t="s"/>
      <c r="Z139" s="5" t="s"/>
    </row>
    <row r="140" spans="1:26">
      <c r="A140" s="9" t="str">
        <f>=样本清单!A140</f>
        <v>M6_P1_04</v>
      </c>
      <c r="B140" s="9" t="str">
        <f>=样本清单!B140</f>
        <v>M6</v>
      </c>
      <c r="C140" s="9" t="str">
        <f>=样本清单!C140</f>
        <v>HunyuanImage-3.0</v>
      </c>
      <c r="D140" s="9" t="str">
        <f>=样本清单!D140</f>
        <v>P1</v>
      </c>
      <c r="E140" s="9">
        <f>=样本清单!F140</f>
        <v>4</v>
      </c>
      <c r="F140" s="8">
        <v>2</v>
      </c>
      <c r="G140" s="8">
        <v>2</v>
      </c>
      <c r="H140" s="8">
        <v>2</v>
      </c>
      <c r="I140" s="8">
        <v>2</v>
      </c>
      <c r="J140" s="8">
        <v>2</v>
      </c>
      <c r="K140" s="8">
        <v>2</v>
      </c>
      <c r="L140" s="8">
        <v>2</v>
      </c>
      <c r="M140" s="8">
        <v>1</v>
      </c>
      <c r="N140" s="8">
        <v>0</v>
      </c>
      <c r="O140" s="8">
        <v>2</v>
      </c>
      <c r="P140" s="8">
        <v>2</v>
      </c>
      <c r="Q140" s="8">
        <v>2</v>
      </c>
      <c r="R140" s="8">
        <v>2</v>
      </c>
      <c r="S140" s="8">
        <v>1</v>
      </c>
      <c r="T140" s="8">
        <v>1</v>
      </c>
      <c r="U140" s="8">
        <v>1</v>
      </c>
      <c r="V140" s="8">
        <v>2</v>
      </c>
      <c r="W140" s="8">
        <v>2</v>
      </c>
      <c r="X140" s="8">
        <v>2</v>
      </c>
      <c r="Y140" s="8" t="s"/>
      <c r="Z140" s="5" t="s"/>
    </row>
    <row r="141" spans="1:26">
      <c r="A141" s="9" t="str">
        <f>=样本清单!A141</f>
        <v>M6_P1_05</v>
      </c>
      <c r="B141" s="9" t="str">
        <f>=样本清单!B141</f>
        <v>M6</v>
      </c>
      <c r="C141" s="9" t="str">
        <f>=样本清单!C141</f>
        <v>HunyuanImage-3.0</v>
      </c>
      <c r="D141" s="9" t="str">
        <f>=样本清单!D141</f>
        <v>P1</v>
      </c>
      <c r="E141" s="9">
        <f>=样本清单!F141</f>
        <v>5</v>
      </c>
      <c r="F141" s="8">
        <v>2</v>
      </c>
      <c r="G141" s="8">
        <v>2</v>
      </c>
      <c r="H141" s="8">
        <v>2</v>
      </c>
      <c r="I141" s="8">
        <v>1</v>
      </c>
      <c r="J141" s="8">
        <v>2</v>
      </c>
      <c r="K141" s="8">
        <v>2</v>
      </c>
      <c r="L141" s="8">
        <v>2</v>
      </c>
      <c r="M141" s="8">
        <v>2</v>
      </c>
      <c r="N141" s="8" t="s">
        <v>607</v>
      </c>
      <c r="O141" s="8">
        <v>2</v>
      </c>
      <c r="P141" s="8">
        <v>2</v>
      </c>
      <c r="Q141" s="8">
        <v>2</v>
      </c>
      <c r="R141" s="8">
        <v>2</v>
      </c>
      <c r="S141" s="8">
        <v>2</v>
      </c>
      <c r="T141" s="8">
        <v>1</v>
      </c>
      <c r="U141" s="8">
        <v>1</v>
      </c>
      <c r="V141" s="8">
        <v>2</v>
      </c>
      <c r="W141" s="8">
        <v>2</v>
      </c>
      <c r="X141" s="8">
        <v>2</v>
      </c>
      <c r="Y141" s="8" t="s"/>
      <c r="Z141" s="5" t="s"/>
    </row>
    <row r="142" spans="1:26">
      <c r="A142" s="9" t="str">
        <f>=样本清单!A142</f>
        <v>M6_P1_06</v>
      </c>
      <c r="B142" s="9" t="str">
        <f>=样本清单!B142</f>
        <v>M6</v>
      </c>
      <c r="C142" s="9" t="str">
        <f>=样本清单!C142</f>
        <v>HunyuanImage-3.0</v>
      </c>
      <c r="D142" s="9" t="str">
        <f>=样本清单!D142</f>
        <v>P1</v>
      </c>
      <c r="E142" s="9">
        <f>=样本清单!F142</f>
        <v>6</v>
      </c>
      <c r="F142" s="8">
        <v>2</v>
      </c>
      <c r="G142" s="8">
        <v>2</v>
      </c>
      <c r="H142" s="8">
        <v>2</v>
      </c>
      <c r="I142" s="8">
        <v>1</v>
      </c>
      <c r="J142" s="8">
        <v>1</v>
      </c>
      <c r="K142" s="8">
        <v>0</v>
      </c>
      <c r="L142" s="8">
        <v>2</v>
      </c>
      <c r="M142" s="8">
        <v>2</v>
      </c>
      <c r="N142" s="8" t="s">
        <v>607</v>
      </c>
      <c r="O142" s="8">
        <v>2</v>
      </c>
      <c r="P142" s="8">
        <v>0</v>
      </c>
      <c r="Q142" s="8">
        <v>0</v>
      </c>
      <c r="R142" s="8">
        <v>0</v>
      </c>
      <c r="S142" s="8">
        <v>2</v>
      </c>
      <c r="T142" s="8">
        <v>1</v>
      </c>
      <c r="U142" s="8">
        <v>1</v>
      </c>
      <c r="V142" s="8">
        <v>2</v>
      </c>
      <c r="W142" s="8">
        <v>2</v>
      </c>
      <c r="X142" s="8">
        <v>2</v>
      </c>
      <c r="Y142" s="8" t="s"/>
      <c r="Z142" s="5" t="s"/>
    </row>
    <row r="143" spans="1:26">
      <c r="A143" s="9" t="str">
        <f>=样本清单!A143</f>
        <v>M6_P1_07</v>
      </c>
      <c r="B143" s="9" t="str">
        <f>=样本清单!B143</f>
        <v>M6</v>
      </c>
      <c r="C143" s="9" t="str">
        <f>=样本清单!C143</f>
        <v>HunyuanImage-3.0</v>
      </c>
      <c r="D143" s="9" t="str">
        <f>=样本清单!D143</f>
        <v>P1</v>
      </c>
      <c r="E143" s="9">
        <f>=样本清单!F143</f>
        <v>7</v>
      </c>
      <c r="F143" s="8">
        <v>2</v>
      </c>
      <c r="G143" s="8">
        <v>2</v>
      </c>
      <c r="H143" s="8">
        <v>2</v>
      </c>
      <c r="I143" s="8">
        <v>2</v>
      </c>
      <c r="J143" s="8">
        <v>2</v>
      </c>
      <c r="K143" s="8">
        <v>2</v>
      </c>
      <c r="L143" s="8">
        <v>2</v>
      </c>
      <c r="M143" s="8">
        <v>2</v>
      </c>
      <c r="N143" s="8" t="s">
        <v>607</v>
      </c>
      <c r="O143" s="8">
        <v>2</v>
      </c>
      <c r="P143" s="8">
        <v>2</v>
      </c>
      <c r="Q143" s="8">
        <v>2</v>
      </c>
      <c r="R143" s="8">
        <v>2</v>
      </c>
      <c r="S143" s="8">
        <v>2</v>
      </c>
      <c r="T143" s="8">
        <v>1</v>
      </c>
      <c r="U143" s="8">
        <v>2</v>
      </c>
      <c r="V143" s="8">
        <v>2</v>
      </c>
      <c r="W143" s="8">
        <v>2</v>
      </c>
      <c r="X143" s="8">
        <v>2</v>
      </c>
      <c r="Y143" s="8" t="s"/>
      <c r="Z143" s="5" t="s"/>
    </row>
    <row r="144" spans="1:26">
      <c r="A144" s="9" t="str">
        <f>=样本清单!A144</f>
        <v>M6_P1_08</v>
      </c>
      <c r="B144" s="9" t="str">
        <f>=样本清单!B144</f>
        <v>M6</v>
      </c>
      <c r="C144" s="9" t="str">
        <f>=样本清单!C144</f>
        <v>HunyuanImage-3.0</v>
      </c>
      <c r="D144" s="9" t="str">
        <f>=样本清单!D144</f>
        <v>P1</v>
      </c>
      <c r="E144" s="9">
        <f>=样本清单!F144</f>
        <v>8</v>
      </c>
      <c r="F144" s="8">
        <v>2</v>
      </c>
      <c r="G144" s="8">
        <v>2</v>
      </c>
      <c r="H144" s="8">
        <v>2</v>
      </c>
      <c r="I144" s="8">
        <v>2</v>
      </c>
      <c r="J144" s="8">
        <v>2</v>
      </c>
      <c r="K144" s="8">
        <v>2</v>
      </c>
      <c r="L144" s="8">
        <v>2</v>
      </c>
      <c r="M144" s="8">
        <v>2</v>
      </c>
      <c r="N144" s="8" t="s">
        <v>607</v>
      </c>
      <c r="O144" s="8">
        <v>2</v>
      </c>
      <c r="P144" s="8">
        <v>2</v>
      </c>
      <c r="Q144" s="8">
        <v>2</v>
      </c>
      <c r="R144" s="8">
        <v>2</v>
      </c>
      <c r="S144" s="8">
        <v>2</v>
      </c>
      <c r="T144" s="8">
        <v>1</v>
      </c>
      <c r="U144" s="8">
        <v>2</v>
      </c>
      <c r="V144" s="8">
        <v>1</v>
      </c>
      <c r="W144" s="8">
        <v>2</v>
      </c>
      <c r="X144" s="8">
        <v>2</v>
      </c>
      <c r="Y144" s="8" t="s"/>
      <c r="Z144" s="5" t="s"/>
    </row>
    <row r="145" spans="1:26">
      <c r="A145" s="9" t="str">
        <f>=样本清单!A145</f>
        <v>M6_P1_09</v>
      </c>
      <c r="B145" s="9" t="str">
        <f>=样本清单!B145</f>
        <v>M6</v>
      </c>
      <c r="C145" s="9" t="str">
        <f>=样本清单!C145</f>
        <v>HunyuanImage-3.0</v>
      </c>
      <c r="D145" s="9" t="str">
        <f>=样本清单!D145</f>
        <v>P1</v>
      </c>
      <c r="E145" s="9">
        <f>=样本清单!F145</f>
        <v>9</v>
      </c>
      <c r="F145" s="8">
        <v>2</v>
      </c>
      <c r="G145" s="8">
        <v>1</v>
      </c>
      <c r="H145" s="8">
        <v>2</v>
      </c>
      <c r="I145" s="8">
        <v>2</v>
      </c>
      <c r="J145" s="8">
        <v>2</v>
      </c>
      <c r="K145" s="8">
        <v>2</v>
      </c>
      <c r="L145" s="8">
        <v>2</v>
      </c>
      <c r="M145" s="8">
        <v>2</v>
      </c>
      <c r="N145" s="8" t="s">
        <v>607</v>
      </c>
      <c r="O145" s="8">
        <v>2</v>
      </c>
      <c r="P145" s="8">
        <v>2</v>
      </c>
      <c r="Q145" s="8">
        <v>2</v>
      </c>
      <c r="R145" s="8">
        <v>2</v>
      </c>
      <c r="S145" s="8">
        <v>1</v>
      </c>
      <c r="T145" s="8">
        <v>2</v>
      </c>
      <c r="U145" s="8">
        <v>2</v>
      </c>
      <c r="V145" s="8">
        <v>2</v>
      </c>
      <c r="W145" s="8">
        <v>2</v>
      </c>
      <c r="X145" s="8">
        <v>2</v>
      </c>
      <c r="Y145" s="8" t="s"/>
      <c r="Z145" s="5" t="s"/>
    </row>
    <row r="146" spans="1:26">
      <c r="A146" s="9" t="str">
        <f>=样本清单!A146</f>
        <v>M6_P2_01</v>
      </c>
      <c r="B146" s="9" t="str">
        <f>=样本清单!B146</f>
        <v>M6</v>
      </c>
      <c r="C146" s="9" t="str">
        <f>=样本清单!C146</f>
        <v>HunyuanImage-3.0</v>
      </c>
      <c r="D146" s="9" t="str">
        <f>=样本清单!D146</f>
        <v>P2</v>
      </c>
      <c r="E146" s="9">
        <f>=样本清单!F146</f>
        <v>1</v>
      </c>
      <c r="F146" s="8">
        <v>2</v>
      </c>
      <c r="G146" s="8">
        <v>2</v>
      </c>
      <c r="H146" s="8">
        <v>2</v>
      </c>
      <c r="I146" s="8">
        <v>2</v>
      </c>
      <c r="J146" s="8">
        <v>2</v>
      </c>
      <c r="K146" s="8">
        <v>2</v>
      </c>
      <c r="L146" s="8">
        <v>2</v>
      </c>
      <c r="M146" s="8">
        <v>2</v>
      </c>
      <c r="N146" s="8" t="s">
        <v>607</v>
      </c>
      <c r="O146" s="8">
        <v>2</v>
      </c>
      <c r="P146" s="8">
        <v>2</v>
      </c>
      <c r="Q146" s="8">
        <v>2</v>
      </c>
      <c r="R146" s="8">
        <v>1</v>
      </c>
      <c r="S146" s="8">
        <v>2</v>
      </c>
      <c r="T146" s="8">
        <v>2</v>
      </c>
      <c r="U146" s="8">
        <v>1</v>
      </c>
      <c r="V146" s="8">
        <v>1</v>
      </c>
      <c r="W146" s="8">
        <v>2</v>
      </c>
      <c r="X146" s="8">
        <v>2</v>
      </c>
      <c r="Y146" s="8" t="s"/>
      <c r="Z146" s="5" t="s"/>
    </row>
    <row r="147" spans="1:26">
      <c r="A147" s="9" t="str">
        <f>=样本清单!A147</f>
        <v>M6_P2_02</v>
      </c>
      <c r="B147" s="9" t="str">
        <f>=样本清单!B147</f>
        <v>M6</v>
      </c>
      <c r="C147" s="9" t="str">
        <f>=样本清单!C147</f>
        <v>HunyuanImage-3.0</v>
      </c>
      <c r="D147" s="9" t="str">
        <f>=样本清单!D147</f>
        <v>P2</v>
      </c>
      <c r="E147" s="9">
        <f>=样本清单!F147</f>
        <v>2</v>
      </c>
      <c r="F147" s="8">
        <v>2</v>
      </c>
      <c r="G147" s="8">
        <v>2</v>
      </c>
      <c r="H147" s="8">
        <v>2</v>
      </c>
      <c r="I147" s="8">
        <v>2</v>
      </c>
      <c r="J147" s="8">
        <v>2</v>
      </c>
      <c r="K147" s="8">
        <v>2</v>
      </c>
      <c r="L147" s="8">
        <v>2</v>
      </c>
      <c r="M147" s="8">
        <v>2</v>
      </c>
      <c r="N147" s="8" t="s">
        <v>607</v>
      </c>
      <c r="O147" s="8">
        <v>2</v>
      </c>
      <c r="P147" s="8">
        <v>2</v>
      </c>
      <c r="Q147" s="8">
        <v>2</v>
      </c>
      <c r="R147" s="8">
        <v>1</v>
      </c>
      <c r="S147" s="8">
        <v>2</v>
      </c>
      <c r="T147" s="8">
        <v>2</v>
      </c>
      <c r="U147" s="8">
        <v>2</v>
      </c>
      <c r="V147" s="8">
        <v>2</v>
      </c>
      <c r="W147" s="8">
        <v>2</v>
      </c>
      <c r="X147" s="8">
        <v>2</v>
      </c>
      <c r="Y147" s="8" t="s"/>
      <c r="Z147" s="5" t="s"/>
    </row>
    <row r="148" spans="1:26">
      <c r="A148" s="9" t="str">
        <f>=样本清单!A148</f>
        <v>M6_P2_03</v>
      </c>
      <c r="B148" s="9" t="str">
        <f>=样本清单!B148</f>
        <v>M6</v>
      </c>
      <c r="C148" s="9" t="str">
        <f>=样本清单!C148</f>
        <v>HunyuanImage-3.0</v>
      </c>
      <c r="D148" s="9" t="str">
        <f>=样本清单!D148</f>
        <v>P2</v>
      </c>
      <c r="E148" s="9">
        <f>=样本清单!F148</f>
        <v>3</v>
      </c>
      <c r="F148" s="8">
        <v>2</v>
      </c>
      <c r="G148" s="8">
        <v>2</v>
      </c>
      <c r="H148" s="8">
        <v>2</v>
      </c>
      <c r="I148" s="8">
        <v>2</v>
      </c>
      <c r="J148" s="8">
        <v>2</v>
      </c>
      <c r="K148" s="8">
        <v>1</v>
      </c>
      <c r="L148" s="8">
        <v>2</v>
      </c>
      <c r="M148" s="8">
        <v>2</v>
      </c>
      <c r="N148" s="8" t="s">
        <v>607</v>
      </c>
      <c r="O148" s="8">
        <v>2</v>
      </c>
      <c r="P148" s="8">
        <v>1</v>
      </c>
      <c r="Q148" s="8">
        <v>2</v>
      </c>
      <c r="R148" s="8">
        <v>1</v>
      </c>
      <c r="S148" s="8">
        <v>2</v>
      </c>
      <c r="T148" s="8">
        <v>2</v>
      </c>
      <c r="U148" s="8">
        <v>2</v>
      </c>
      <c r="V148" s="8">
        <v>1</v>
      </c>
      <c r="W148" s="8">
        <v>2</v>
      </c>
      <c r="X148" s="8">
        <v>2</v>
      </c>
      <c r="Y148" s="8" t="s"/>
      <c r="Z148" s="5" t="s"/>
    </row>
    <row r="149" spans="1:26">
      <c r="A149" s="9" t="str">
        <f>=样本清单!A149</f>
        <v>M6_P2_04</v>
      </c>
      <c r="B149" s="9" t="str">
        <f>=样本清单!B149</f>
        <v>M6</v>
      </c>
      <c r="C149" s="9" t="str">
        <f>=样本清单!C149</f>
        <v>HunyuanImage-3.0</v>
      </c>
      <c r="D149" s="9" t="str">
        <f>=样本清单!D149</f>
        <v>P2</v>
      </c>
      <c r="E149" s="9">
        <f>=样本清单!F149</f>
        <v>4</v>
      </c>
      <c r="F149" s="8">
        <v>2</v>
      </c>
      <c r="G149" s="8">
        <v>2</v>
      </c>
      <c r="H149" s="8">
        <v>2</v>
      </c>
      <c r="I149" s="8">
        <v>2</v>
      </c>
      <c r="J149" s="8">
        <v>2</v>
      </c>
      <c r="K149" s="8">
        <v>2</v>
      </c>
      <c r="L149" s="8">
        <v>2</v>
      </c>
      <c r="M149" s="8">
        <v>2</v>
      </c>
      <c r="N149" s="8" t="s">
        <v>607</v>
      </c>
      <c r="O149" s="8">
        <v>2</v>
      </c>
      <c r="P149" s="8">
        <v>2</v>
      </c>
      <c r="Q149" s="8">
        <v>2</v>
      </c>
      <c r="R149" s="8">
        <v>1</v>
      </c>
      <c r="S149" s="8">
        <v>2</v>
      </c>
      <c r="T149" s="8">
        <v>1</v>
      </c>
      <c r="U149" s="8">
        <v>2</v>
      </c>
      <c r="V149" s="8">
        <v>1</v>
      </c>
      <c r="W149" s="8">
        <v>2</v>
      </c>
      <c r="X149" s="8">
        <v>2</v>
      </c>
      <c r="Y149" s="8" t="s"/>
      <c r="Z149" s="5" t="s"/>
    </row>
    <row r="150" spans="1:26">
      <c r="A150" s="9" t="str">
        <f>=样本清单!A150</f>
        <v>M6_P2_05</v>
      </c>
      <c r="B150" s="9" t="str">
        <f>=样本清单!B150</f>
        <v>M6</v>
      </c>
      <c r="C150" s="9" t="str">
        <f>=样本清单!C150</f>
        <v>HunyuanImage-3.0</v>
      </c>
      <c r="D150" s="9" t="str">
        <f>=样本清单!D150</f>
        <v>P2</v>
      </c>
      <c r="E150" s="9">
        <f>=样本清单!F150</f>
        <v>5</v>
      </c>
      <c r="F150" s="8">
        <v>2</v>
      </c>
      <c r="G150" s="8">
        <v>2</v>
      </c>
      <c r="H150" s="8">
        <v>2</v>
      </c>
      <c r="I150" s="8">
        <v>2</v>
      </c>
      <c r="J150" s="8">
        <v>2</v>
      </c>
      <c r="K150" s="8">
        <v>2</v>
      </c>
      <c r="L150" s="8">
        <v>2</v>
      </c>
      <c r="M150" s="8">
        <v>1</v>
      </c>
      <c r="N150" s="8" t="s">
        <v>607</v>
      </c>
      <c r="O150" s="8">
        <v>2</v>
      </c>
      <c r="P150" s="8">
        <v>2</v>
      </c>
      <c r="Q150" s="8">
        <v>2</v>
      </c>
      <c r="R150" s="8">
        <v>2</v>
      </c>
      <c r="S150" s="8">
        <v>2</v>
      </c>
      <c r="T150" s="8">
        <v>2</v>
      </c>
      <c r="U150" s="8">
        <v>2</v>
      </c>
      <c r="V150" s="8">
        <v>2</v>
      </c>
      <c r="W150" s="8">
        <v>2</v>
      </c>
      <c r="X150" s="8">
        <v>2</v>
      </c>
      <c r="Y150" s="8" t="s"/>
      <c r="Z150" s="5" t="s"/>
    </row>
    <row r="151" spans="1:26">
      <c r="A151" s="9" t="str">
        <f>=样本清单!A151</f>
        <v>M6_P2_06</v>
      </c>
      <c r="B151" s="9" t="str">
        <f>=样本清单!B151</f>
        <v>M6</v>
      </c>
      <c r="C151" s="9" t="str">
        <f>=样本清单!C151</f>
        <v>HunyuanImage-3.0</v>
      </c>
      <c r="D151" s="9" t="str">
        <f>=样本清单!D151</f>
        <v>P2</v>
      </c>
      <c r="E151" s="9">
        <f>=样本清单!F151</f>
        <v>6</v>
      </c>
      <c r="F151" s="8">
        <v>2</v>
      </c>
      <c r="G151" s="8">
        <v>2</v>
      </c>
      <c r="H151" s="8">
        <v>2</v>
      </c>
      <c r="I151" s="8">
        <v>2</v>
      </c>
      <c r="J151" s="8">
        <v>1</v>
      </c>
      <c r="K151" s="8">
        <v>2</v>
      </c>
      <c r="L151" s="8">
        <v>1</v>
      </c>
      <c r="M151" s="8">
        <v>2</v>
      </c>
      <c r="N151" s="8" t="s">
        <v>607</v>
      </c>
      <c r="O151" s="8">
        <v>2</v>
      </c>
      <c r="P151" s="8">
        <v>2</v>
      </c>
      <c r="Q151" s="8">
        <v>2</v>
      </c>
      <c r="R151" s="8">
        <v>1</v>
      </c>
      <c r="S151" s="8">
        <v>2</v>
      </c>
      <c r="T151" s="8">
        <v>2</v>
      </c>
      <c r="U151" s="8">
        <v>2</v>
      </c>
      <c r="V151" s="8">
        <v>1</v>
      </c>
      <c r="W151" s="8">
        <v>2</v>
      </c>
      <c r="X151" s="8">
        <v>2</v>
      </c>
      <c r="Y151" s="8" t="s"/>
      <c r="Z151" s="5" t="s"/>
    </row>
    <row r="152" spans="1:26">
      <c r="A152" s="9" t="str">
        <f>=样本清单!A152</f>
        <v>M6_P2_07</v>
      </c>
      <c r="B152" s="9" t="str">
        <f>=样本清单!B152</f>
        <v>M6</v>
      </c>
      <c r="C152" s="9" t="str">
        <f>=样本清单!C152</f>
        <v>HunyuanImage-3.0</v>
      </c>
      <c r="D152" s="9" t="str">
        <f>=样本清单!D152</f>
        <v>P2</v>
      </c>
      <c r="E152" s="9">
        <f>=样本清单!F152</f>
        <v>7</v>
      </c>
      <c r="F152" s="8">
        <v>2</v>
      </c>
      <c r="G152" s="8">
        <v>2</v>
      </c>
      <c r="H152" s="8">
        <v>2</v>
      </c>
      <c r="I152" s="8">
        <v>2</v>
      </c>
      <c r="J152" s="8">
        <v>2</v>
      </c>
      <c r="K152" s="8">
        <v>2</v>
      </c>
      <c r="L152" s="8">
        <v>2</v>
      </c>
      <c r="M152" s="8">
        <v>2</v>
      </c>
      <c r="N152" s="8" t="s">
        <v>607</v>
      </c>
      <c r="O152" s="8">
        <v>2</v>
      </c>
      <c r="P152" s="8">
        <v>2</v>
      </c>
      <c r="Q152" s="8">
        <v>2</v>
      </c>
      <c r="R152" s="8">
        <v>1</v>
      </c>
      <c r="S152" s="8">
        <v>2</v>
      </c>
      <c r="T152" s="8">
        <v>2</v>
      </c>
      <c r="U152" s="8">
        <v>2</v>
      </c>
      <c r="V152" s="8">
        <v>2</v>
      </c>
      <c r="W152" s="8">
        <v>2</v>
      </c>
      <c r="X152" s="8">
        <v>2</v>
      </c>
      <c r="Y152" s="8" t="s"/>
      <c r="Z152" s="5" t="s"/>
    </row>
    <row r="153" spans="1:26">
      <c r="A153" s="9" t="str">
        <f>=样本清单!A153</f>
        <v>M6_P2_08</v>
      </c>
      <c r="B153" s="9" t="str">
        <f>=样本清单!B153</f>
        <v>M6</v>
      </c>
      <c r="C153" s="9" t="str">
        <f>=样本清单!C153</f>
        <v>HunyuanImage-3.0</v>
      </c>
      <c r="D153" s="9" t="str">
        <f>=样本清单!D153</f>
        <v>P2</v>
      </c>
      <c r="E153" s="9">
        <f>=样本清单!F153</f>
        <v>8</v>
      </c>
      <c r="F153" s="8">
        <v>2</v>
      </c>
      <c r="G153" s="8">
        <v>1</v>
      </c>
      <c r="H153" s="8">
        <v>2</v>
      </c>
      <c r="I153" s="8">
        <v>2</v>
      </c>
      <c r="J153" s="8">
        <v>2</v>
      </c>
      <c r="K153" s="8">
        <v>2</v>
      </c>
      <c r="L153" s="8">
        <v>0</v>
      </c>
      <c r="M153" s="8">
        <v>2</v>
      </c>
      <c r="N153" s="8" t="s">
        <v>607</v>
      </c>
      <c r="O153" s="8">
        <v>2</v>
      </c>
      <c r="P153" s="8">
        <v>2</v>
      </c>
      <c r="Q153" s="8">
        <v>2</v>
      </c>
      <c r="R153" s="8">
        <v>2</v>
      </c>
      <c r="S153" s="8">
        <v>2</v>
      </c>
      <c r="T153" s="8">
        <v>2</v>
      </c>
      <c r="U153" s="8">
        <v>1</v>
      </c>
      <c r="V153" s="8">
        <v>1</v>
      </c>
      <c r="W153" s="8">
        <v>2</v>
      </c>
      <c r="X153" s="8">
        <v>2</v>
      </c>
      <c r="Y153" s="8" t="s"/>
      <c r="Z153" s="5" t="s"/>
    </row>
    <row r="154" spans="1:26">
      <c r="A154" s="9" t="str">
        <f>=样本清单!A154</f>
        <v>M6_P2_09</v>
      </c>
      <c r="B154" s="9" t="str">
        <f>=样本清单!B154</f>
        <v>M6</v>
      </c>
      <c r="C154" s="9" t="str">
        <f>=样本清单!C154</f>
        <v>HunyuanImage-3.0</v>
      </c>
      <c r="D154" s="9" t="str">
        <f>=样本清单!D154</f>
        <v>P2</v>
      </c>
      <c r="E154" s="9">
        <f>=样本清单!F154</f>
        <v>9</v>
      </c>
      <c r="F154" s="8">
        <v>2</v>
      </c>
      <c r="G154" s="8">
        <v>1</v>
      </c>
      <c r="H154" s="8">
        <v>2</v>
      </c>
      <c r="I154" s="8">
        <v>2</v>
      </c>
      <c r="J154" s="8">
        <v>1</v>
      </c>
      <c r="K154" s="8">
        <v>2</v>
      </c>
      <c r="L154" s="8">
        <v>2</v>
      </c>
      <c r="M154" s="8">
        <v>2</v>
      </c>
      <c r="N154" s="8" t="s">
        <v>607</v>
      </c>
      <c r="O154" s="8">
        <v>2</v>
      </c>
      <c r="P154" s="8">
        <v>2</v>
      </c>
      <c r="Q154" s="8">
        <v>2</v>
      </c>
      <c r="R154" s="8">
        <v>1</v>
      </c>
      <c r="S154" s="8">
        <v>2</v>
      </c>
      <c r="T154" s="8">
        <v>2</v>
      </c>
      <c r="U154" s="8">
        <v>2</v>
      </c>
      <c r="V154" s="8">
        <v>1</v>
      </c>
      <c r="W154" s="8">
        <v>2</v>
      </c>
      <c r="X154" s="8">
        <v>2</v>
      </c>
      <c r="Y154" s="8" t="s"/>
      <c r="Z154" s="5" t="s"/>
    </row>
    <row r="155" spans="1:26">
      <c r="A155" s="9" t="str">
        <f>=样本清单!A155</f>
        <v>M6_P3_01</v>
      </c>
      <c r="B155" s="9" t="str">
        <f>=样本清单!B155</f>
        <v>M6</v>
      </c>
      <c r="C155" s="9" t="str">
        <f>=样本清单!C155</f>
        <v>HunyuanImage-3.0</v>
      </c>
      <c r="D155" s="9" t="str">
        <f>=样本清单!D155</f>
        <v>P3</v>
      </c>
      <c r="E155" s="9">
        <f>=样本清单!F155</f>
        <v>1</v>
      </c>
      <c r="F155" s="8">
        <v>2</v>
      </c>
      <c r="G155" s="8">
        <v>2</v>
      </c>
      <c r="H155" s="8">
        <v>2</v>
      </c>
      <c r="I155" s="8">
        <v>2</v>
      </c>
      <c r="J155" s="8">
        <v>1</v>
      </c>
      <c r="K155" s="8">
        <v>1</v>
      </c>
      <c r="L155" s="8">
        <v>2</v>
      </c>
      <c r="M155" s="8">
        <v>2</v>
      </c>
      <c r="N155" s="8">
        <v>2</v>
      </c>
      <c r="O155" s="8">
        <v>2</v>
      </c>
      <c r="P155" s="8">
        <v>2</v>
      </c>
      <c r="Q155" s="8">
        <v>2</v>
      </c>
      <c r="R155" s="8">
        <v>2</v>
      </c>
      <c r="S155" s="8">
        <v>2</v>
      </c>
      <c r="T155" s="8">
        <v>2</v>
      </c>
      <c r="U155" s="8">
        <v>2</v>
      </c>
      <c r="V155" s="8">
        <v>1</v>
      </c>
      <c r="W155" s="8">
        <v>2</v>
      </c>
      <c r="X155" s="8">
        <v>2</v>
      </c>
      <c r="Y155" s="8" t="s"/>
      <c r="Z155" s="5" t="s"/>
    </row>
    <row r="156" spans="1:26">
      <c r="A156" s="9" t="str">
        <f>=样本清单!A156</f>
        <v>M6_P3_02</v>
      </c>
      <c r="B156" s="9" t="str">
        <f>=样本清单!B156</f>
        <v>M6</v>
      </c>
      <c r="C156" s="9" t="str">
        <f>=样本清单!C156</f>
        <v>HunyuanImage-3.0</v>
      </c>
      <c r="D156" s="9" t="str">
        <f>=样本清单!D156</f>
        <v>P3</v>
      </c>
      <c r="E156" s="9">
        <f>=样本清单!F156</f>
        <v>2</v>
      </c>
      <c r="F156" s="8">
        <v>2</v>
      </c>
      <c r="G156" s="8">
        <v>2</v>
      </c>
      <c r="H156" s="8">
        <v>2</v>
      </c>
      <c r="I156" s="8">
        <v>2</v>
      </c>
      <c r="J156" s="8">
        <v>2</v>
      </c>
      <c r="K156" s="8">
        <v>2</v>
      </c>
      <c r="L156" s="8">
        <v>2</v>
      </c>
      <c r="M156" s="8">
        <v>2</v>
      </c>
      <c r="N156" s="8">
        <v>2</v>
      </c>
      <c r="O156" s="8">
        <v>2</v>
      </c>
      <c r="P156" s="8">
        <v>2</v>
      </c>
      <c r="Q156" s="8">
        <v>2</v>
      </c>
      <c r="R156" s="8">
        <v>2</v>
      </c>
      <c r="S156" s="8">
        <v>2</v>
      </c>
      <c r="T156" s="8">
        <v>2</v>
      </c>
      <c r="U156" s="8">
        <v>2</v>
      </c>
      <c r="V156" s="8">
        <v>2</v>
      </c>
      <c r="W156" s="8">
        <v>2</v>
      </c>
      <c r="X156" s="8">
        <v>2</v>
      </c>
      <c r="Y156" s="8" t="s"/>
      <c r="Z156" s="5" t="s"/>
    </row>
    <row r="157" spans="1:26">
      <c r="A157" s="9" t="str">
        <f>=样本清单!A157</f>
        <v>M6_P3_03</v>
      </c>
      <c r="B157" s="9" t="str">
        <f>=样本清单!B157</f>
        <v>M6</v>
      </c>
      <c r="C157" s="9" t="str">
        <f>=样本清单!C157</f>
        <v>HunyuanImage-3.0</v>
      </c>
      <c r="D157" s="9" t="str">
        <f>=样本清单!D157</f>
        <v>P3</v>
      </c>
      <c r="E157" s="9">
        <f>=样本清单!F157</f>
        <v>3</v>
      </c>
      <c r="F157" s="8">
        <v>1</v>
      </c>
      <c r="G157" s="8">
        <v>2</v>
      </c>
      <c r="H157" s="8">
        <v>2</v>
      </c>
      <c r="I157" s="8">
        <v>2</v>
      </c>
      <c r="J157" s="8">
        <v>1</v>
      </c>
      <c r="K157" s="8">
        <v>2</v>
      </c>
      <c r="L157" s="8">
        <v>2</v>
      </c>
      <c r="M157" s="8">
        <v>2</v>
      </c>
      <c r="N157" s="8">
        <v>2</v>
      </c>
      <c r="O157" s="8">
        <v>2</v>
      </c>
      <c r="P157" s="8">
        <v>2</v>
      </c>
      <c r="Q157" s="8">
        <v>2</v>
      </c>
      <c r="R157" s="8">
        <v>2</v>
      </c>
      <c r="S157" s="8">
        <v>2</v>
      </c>
      <c r="T157" s="8">
        <v>1</v>
      </c>
      <c r="U157" s="8">
        <v>2</v>
      </c>
      <c r="V157" s="8">
        <v>1</v>
      </c>
      <c r="W157" s="8">
        <v>2</v>
      </c>
      <c r="X157" s="8">
        <v>2</v>
      </c>
      <c r="Y157" s="8" t="s"/>
      <c r="Z157" s="5" t="s"/>
    </row>
    <row r="158" spans="1:26">
      <c r="A158" s="9" t="str">
        <f>=样本清单!A158</f>
        <v>M6_P3_04</v>
      </c>
      <c r="B158" s="9" t="str">
        <f>=样本清单!B158</f>
        <v>M6</v>
      </c>
      <c r="C158" s="9" t="str">
        <f>=样本清单!C158</f>
        <v>HunyuanImage-3.0</v>
      </c>
      <c r="D158" s="9" t="str">
        <f>=样本清单!D158</f>
        <v>P3</v>
      </c>
      <c r="E158" s="9">
        <f>=样本清单!F158</f>
        <v>4</v>
      </c>
      <c r="F158" s="8">
        <v>2</v>
      </c>
      <c r="G158" s="8">
        <v>2</v>
      </c>
      <c r="H158" s="8">
        <v>2</v>
      </c>
      <c r="I158" s="8">
        <v>2</v>
      </c>
      <c r="J158" s="8">
        <v>2</v>
      </c>
      <c r="K158" s="8">
        <v>2</v>
      </c>
      <c r="L158" s="8">
        <v>2</v>
      </c>
      <c r="M158" s="8">
        <v>2</v>
      </c>
      <c r="N158" s="8">
        <v>2</v>
      </c>
      <c r="O158" s="8">
        <v>2</v>
      </c>
      <c r="P158" s="8">
        <v>2</v>
      </c>
      <c r="Q158" s="8">
        <v>2</v>
      </c>
      <c r="R158" s="8">
        <v>2</v>
      </c>
      <c r="S158" s="8">
        <v>2</v>
      </c>
      <c r="T158" s="8">
        <v>2</v>
      </c>
      <c r="U158" s="8">
        <v>2</v>
      </c>
      <c r="V158" s="8">
        <v>2</v>
      </c>
      <c r="W158" s="8">
        <v>2</v>
      </c>
      <c r="X158" s="8">
        <v>2</v>
      </c>
      <c r="Y158" s="8" t="s"/>
      <c r="Z158" s="5" t="s"/>
    </row>
    <row r="159" spans="1:26">
      <c r="A159" s="9" t="str">
        <f>=样本清单!A159</f>
        <v>M6_P3_05</v>
      </c>
      <c r="B159" s="9" t="str">
        <f>=样本清单!B159</f>
        <v>M6</v>
      </c>
      <c r="C159" s="9" t="str">
        <f>=样本清单!C159</f>
        <v>HunyuanImage-3.0</v>
      </c>
      <c r="D159" s="9" t="str">
        <f>=样本清单!D159</f>
        <v>P3</v>
      </c>
      <c r="E159" s="9">
        <f>=样本清单!F159</f>
        <v>5</v>
      </c>
      <c r="F159" s="8">
        <v>2</v>
      </c>
      <c r="G159" s="8">
        <v>2</v>
      </c>
      <c r="H159" s="8">
        <v>2</v>
      </c>
      <c r="I159" s="8">
        <v>2</v>
      </c>
      <c r="J159" s="8">
        <v>2</v>
      </c>
      <c r="K159" s="8">
        <v>2</v>
      </c>
      <c r="L159" s="8">
        <v>2</v>
      </c>
      <c r="M159" s="8">
        <v>2</v>
      </c>
      <c r="N159" s="8">
        <v>2</v>
      </c>
      <c r="O159" s="8">
        <v>2</v>
      </c>
      <c r="P159" s="8">
        <v>2</v>
      </c>
      <c r="Q159" s="8">
        <v>2</v>
      </c>
      <c r="R159" s="8">
        <v>2</v>
      </c>
      <c r="S159" s="8">
        <v>2</v>
      </c>
      <c r="T159" s="8">
        <v>2</v>
      </c>
      <c r="U159" s="8">
        <v>2</v>
      </c>
      <c r="V159" s="8">
        <v>2</v>
      </c>
      <c r="W159" s="8">
        <v>2</v>
      </c>
      <c r="X159" s="8">
        <v>2</v>
      </c>
      <c r="Y159" s="8" t="s"/>
      <c r="Z159" s="5" t="s"/>
    </row>
    <row r="160" spans="1:26">
      <c r="A160" s="9" t="str">
        <f>=样本清单!A160</f>
        <v>M6_P3_06</v>
      </c>
      <c r="B160" s="9" t="str">
        <f>=样本清单!B160</f>
        <v>M6</v>
      </c>
      <c r="C160" s="9" t="str">
        <f>=样本清单!C160</f>
        <v>HunyuanImage-3.0</v>
      </c>
      <c r="D160" s="9" t="str">
        <f>=样本清单!D160</f>
        <v>P3</v>
      </c>
      <c r="E160" s="9">
        <f>=样本清单!F160</f>
        <v>6</v>
      </c>
      <c r="F160" s="8">
        <v>2</v>
      </c>
      <c r="G160" s="8">
        <v>2</v>
      </c>
      <c r="H160" s="8">
        <v>2</v>
      </c>
      <c r="I160" s="8">
        <v>2</v>
      </c>
      <c r="J160" s="8">
        <v>2</v>
      </c>
      <c r="K160" s="8">
        <v>2</v>
      </c>
      <c r="L160" s="8">
        <v>2</v>
      </c>
      <c r="M160" s="8">
        <v>2</v>
      </c>
      <c r="N160" s="8">
        <v>2</v>
      </c>
      <c r="O160" s="8">
        <v>2</v>
      </c>
      <c r="P160" s="8">
        <v>2</v>
      </c>
      <c r="Q160" s="8">
        <v>2</v>
      </c>
      <c r="R160" s="8">
        <v>2</v>
      </c>
      <c r="S160" s="8">
        <v>2</v>
      </c>
      <c r="T160" s="8">
        <v>2</v>
      </c>
      <c r="U160" s="8">
        <v>2</v>
      </c>
      <c r="V160" s="8">
        <v>2</v>
      </c>
      <c r="W160" s="8">
        <v>2</v>
      </c>
      <c r="X160" s="8">
        <v>2</v>
      </c>
      <c r="Y160" s="8" t="s"/>
      <c r="Z160" s="5" t="s"/>
    </row>
    <row r="161" spans="1:26">
      <c r="A161" s="9" t="str">
        <f>=样本清单!A161</f>
        <v>M6_P3_07</v>
      </c>
      <c r="B161" s="9" t="str">
        <f>=样本清单!B161</f>
        <v>M6</v>
      </c>
      <c r="C161" s="9" t="str">
        <f>=样本清单!C161</f>
        <v>HunyuanImage-3.0</v>
      </c>
      <c r="D161" s="9" t="str">
        <f>=样本清单!D161</f>
        <v>P3</v>
      </c>
      <c r="E161" s="9">
        <f>=样本清单!F161</f>
        <v>7</v>
      </c>
      <c r="F161" s="8">
        <v>2</v>
      </c>
      <c r="G161" s="8">
        <v>2</v>
      </c>
      <c r="H161" s="8">
        <v>2</v>
      </c>
      <c r="I161" s="8">
        <v>2</v>
      </c>
      <c r="J161" s="8">
        <v>2</v>
      </c>
      <c r="K161" s="8">
        <v>2</v>
      </c>
      <c r="L161" s="8">
        <v>1</v>
      </c>
      <c r="M161" s="8">
        <v>2</v>
      </c>
      <c r="N161" s="8">
        <v>2</v>
      </c>
      <c r="O161" s="8">
        <v>2</v>
      </c>
      <c r="P161" s="8">
        <v>2</v>
      </c>
      <c r="Q161" s="8">
        <v>2</v>
      </c>
      <c r="R161" s="8">
        <v>2</v>
      </c>
      <c r="S161" s="8">
        <v>2</v>
      </c>
      <c r="T161" s="8">
        <v>2</v>
      </c>
      <c r="U161" s="8">
        <v>2</v>
      </c>
      <c r="V161" s="8">
        <v>2</v>
      </c>
      <c r="W161" s="8">
        <v>2</v>
      </c>
      <c r="X161" s="8">
        <v>2</v>
      </c>
      <c r="Y161" s="8" t="s"/>
      <c r="Z161" s="5" t="s"/>
    </row>
    <row r="162" spans="1:26">
      <c r="A162" s="9" t="str">
        <f>=样本清单!A162</f>
        <v>M6_P3_08</v>
      </c>
      <c r="B162" s="9" t="str">
        <f>=样本清单!B162</f>
        <v>M6</v>
      </c>
      <c r="C162" s="9" t="str">
        <f>=样本清单!C162</f>
        <v>HunyuanImage-3.0</v>
      </c>
      <c r="D162" s="9" t="str">
        <f>=样本清单!D162</f>
        <v>P3</v>
      </c>
      <c r="E162" s="9">
        <f>=样本清单!F162</f>
        <v>8</v>
      </c>
      <c r="F162" s="8">
        <v>2</v>
      </c>
      <c r="G162" s="8">
        <v>2</v>
      </c>
      <c r="H162" s="8">
        <v>2</v>
      </c>
      <c r="I162" s="8">
        <v>2</v>
      </c>
      <c r="J162" s="8">
        <v>2</v>
      </c>
      <c r="K162" s="8">
        <v>2</v>
      </c>
      <c r="L162" s="8">
        <v>2</v>
      </c>
      <c r="M162" s="8">
        <v>2</v>
      </c>
      <c r="N162" s="8">
        <v>2</v>
      </c>
      <c r="O162" s="8">
        <v>2</v>
      </c>
      <c r="P162" s="8">
        <v>2</v>
      </c>
      <c r="Q162" s="8">
        <v>2</v>
      </c>
      <c r="R162" s="8">
        <v>2</v>
      </c>
      <c r="S162" s="8">
        <v>1</v>
      </c>
      <c r="T162" s="8">
        <v>2</v>
      </c>
      <c r="U162" s="8">
        <v>2</v>
      </c>
      <c r="V162" s="8">
        <v>2</v>
      </c>
      <c r="W162" s="8">
        <v>2</v>
      </c>
      <c r="X162" s="8">
        <v>2</v>
      </c>
      <c r="Y162" s="8" t="s"/>
      <c r="Z162" s="5" t="s"/>
    </row>
    <row r="163" spans="1:26">
      <c r="A163" s="9" t="str">
        <f>=样本清单!A163</f>
        <v>M6_P3_09</v>
      </c>
      <c r="B163" s="9" t="str">
        <f>=样本清单!B163</f>
        <v>M6</v>
      </c>
      <c r="C163" s="9" t="str">
        <f>=样本清单!C163</f>
        <v>HunyuanImage-3.0</v>
      </c>
      <c r="D163" s="9" t="str">
        <f>=样本清单!D163</f>
        <v>P3</v>
      </c>
      <c r="E163" s="9">
        <f>=样本清单!F163</f>
        <v>9</v>
      </c>
      <c r="F163" s="8">
        <v>2</v>
      </c>
      <c r="G163" s="8">
        <v>1</v>
      </c>
      <c r="H163" s="8">
        <v>2</v>
      </c>
      <c r="I163" s="8">
        <v>2</v>
      </c>
      <c r="J163" s="8">
        <v>1</v>
      </c>
      <c r="K163" s="8">
        <v>2</v>
      </c>
      <c r="L163" s="8">
        <v>1</v>
      </c>
      <c r="M163" s="8">
        <v>2</v>
      </c>
      <c r="N163" s="8">
        <v>1</v>
      </c>
      <c r="O163" s="8">
        <v>2</v>
      </c>
      <c r="P163" s="8">
        <v>2</v>
      </c>
      <c r="Q163" s="8">
        <v>2</v>
      </c>
      <c r="R163" s="8">
        <v>2</v>
      </c>
      <c r="S163" s="8">
        <v>2</v>
      </c>
      <c r="T163" s="8">
        <v>1</v>
      </c>
      <c r="U163" s="8">
        <v>2</v>
      </c>
      <c r="V163" s="8">
        <v>1</v>
      </c>
      <c r="W163" s="8">
        <v>2</v>
      </c>
      <c r="X163" s="8">
        <v>2</v>
      </c>
      <c r="Y163" s="8" t="s"/>
      <c r="Z163" s="5" t="s"/>
    </row>
  </sheetData>
  <dataValidations>
    <dataValidation type="list" operator="between" allowBlank="0" showDropDown="0" showInputMessage="0" showErrorMessage="0" sqref="F2:F180">
      <formula1>"0,1,2"</formula1>
    </dataValidation>
    <dataValidation type="list" operator="between" allowBlank="0" showDropDown="0" showInputMessage="0" showErrorMessage="0" sqref="G2:G180">
      <formula1>"0,1,2,NA"</formula1>
    </dataValidation>
    <dataValidation type="list" operator="between" allowBlank="0" showDropDown="0" showInputMessage="0" showErrorMessage="0" sqref="H2:H180">
      <formula1>"0,1,2,NA"</formula1>
    </dataValidation>
    <dataValidation type="list" operator="between" allowBlank="0" showDropDown="0" showInputMessage="0" showErrorMessage="0" sqref="I2:I180">
      <formula1>"0,1,2,NA"</formula1>
    </dataValidation>
    <dataValidation type="list" operator="between" allowBlank="0" showDropDown="0" showInputMessage="0" showErrorMessage="0" sqref="J2:J180">
      <formula1>"0,1,2,NA"</formula1>
    </dataValidation>
    <dataValidation type="list" operator="between" allowBlank="0" showDropDown="0" showInputMessage="0" showErrorMessage="0" sqref="K2:K180">
      <formula1>"0,1,2,NA"</formula1>
    </dataValidation>
    <dataValidation type="list" operator="between" allowBlank="0" showDropDown="0" showInputMessage="0" showErrorMessage="0" sqref="L2:L180">
      <formula1>"0,1,2,NA"</formula1>
    </dataValidation>
    <dataValidation type="list" operator="between" allowBlank="0" showDropDown="0" showInputMessage="0" showErrorMessage="0" sqref="M2:M180">
      <formula1>"0,1,2,NA"</formula1>
    </dataValidation>
    <dataValidation type="list" operator="between" allowBlank="0" showDropDown="0" showInputMessage="0" showErrorMessage="0" sqref="N2:N180">
      <formula1>"0,1,2,NA"</formula1>
    </dataValidation>
    <dataValidation type="list" operator="between" allowBlank="0" showDropDown="0" showInputMessage="0" showErrorMessage="0" sqref="O2:O180">
      <formula1>"0,1,2,NA"</formula1>
    </dataValidation>
    <dataValidation type="list" operator="between" allowBlank="0" showDropDown="0" showInputMessage="0" showErrorMessage="0" sqref="P2:P180">
      <formula1>"0,1,2,NA"</formula1>
    </dataValidation>
    <dataValidation type="list" operator="between" allowBlank="0" showDropDown="0" showInputMessage="0" showErrorMessage="0" sqref="Q2:Q180">
      <formula1>"0,1,2,NA"</formula1>
    </dataValidation>
    <dataValidation type="list" operator="between" allowBlank="0" showDropDown="0" showInputMessage="0" showErrorMessage="0" sqref="R2:R180">
      <formula1>"0,1,2,NA"</formula1>
    </dataValidation>
    <dataValidation type="list" operator="between" allowBlank="0" showDropDown="0" showInputMessage="0" showErrorMessage="0" sqref="S2:S180">
      <formula1>"0,1,2,NA"</formula1>
    </dataValidation>
    <dataValidation type="list" operator="between" allowBlank="0" showDropDown="0" showInputMessage="0" showErrorMessage="0" sqref="T2:T180">
      <formula1>"0,1,2,NA"</formula1>
    </dataValidation>
    <dataValidation type="list" operator="between" allowBlank="0" showDropDown="0" showInputMessage="0" showErrorMessage="0" sqref="U2:U180">
      <formula1>"0,1,2,NA"</formula1>
    </dataValidation>
    <dataValidation type="list" operator="between" allowBlank="0" showDropDown="0" showInputMessage="0" showErrorMessage="0" sqref="V2:V180">
      <formula1>"0,1,2,NA"</formula1>
    </dataValidation>
    <dataValidation type="list" operator="between" allowBlank="0" showDropDown="0" showInputMessage="0" showErrorMessage="0" sqref="W2:W180">
      <formula1>"0,1,2,NA"</formula1>
    </dataValidation>
    <dataValidation type="list" operator="between" allowBlank="0" showDropDown="0" showInputMessage="0" showErrorMessage="0" sqref="X2:X180">
      <formula1>"0,1,2,NA"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Z163"/>
  <sheetViews>
    <sheetView showGridLines="1" tabSelected="1" zoomScaleNormal="100" workbookViewId="0"/>
  </sheetViews>
  <sheetFormatPr baseColWidth="8" defaultRowHeight="13.8"/>
  <cols>
    <col min="1" max="1" width="16" customWidth="1"/>
    <col min="2" max="2" width="10" customWidth="1"/>
    <col min="3" max="3" width="28" customWidth="1"/>
    <col min="4" max="5" width="10" customWidth="1"/>
    <col min="6" max="9" width="12" customWidth="1"/>
    <col min="10" max="10" width="28" customWidth="1"/>
  </cols>
  <sheetData>
    <row r="1" spans="1:26">
      <c r="A1" s="7" t="s">
        <v>267</v>
      </c>
      <c r="B1" s="7" t="s">
        <v>190</v>
      </c>
      <c r="C1" s="7" t="s">
        <v>191</v>
      </c>
      <c r="D1" s="7" t="s">
        <v>268</v>
      </c>
      <c r="E1" s="7" t="s">
        <v>270</v>
      </c>
      <c r="F1" s="7" t="s">
        <v>608</v>
      </c>
      <c r="G1" s="7" t="s">
        <v>609</v>
      </c>
      <c r="H1" s="7" t="s">
        <v>610</v>
      </c>
      <c r="I1" s="7" t="s">
        <v>611</v>
      </c>
      <c r="J1" s="7" t="s">
        <v>612</v>
      </c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9" t="str">
        <f>=样本清单!A2</f>
        <v>M1_P1_01</v>
      </c>
      <c r="B2" s="9" t="str">
        <f>=样本清单!B2</f>
        <v>M1</v>
      </c>
      <c r="C2" s="9" t="str">
        <f>=样本清单!C2</f>
        <v>ChatGPT Images 2.0</v>
      </c>
      <c r="D2" s="9" t="str">
        <f>=样本清单!D2</f>
        <v>P1</v>
      </c>
      <c r="E2" s="9">
        <f>=样本清单!F2</f>
        <v>1</v>
      </c>
      <c r="F2" s="9">
        <f t="array" ref="F2">=IF($A2="","",INDEX(编码员A!$F:$F,MATCH($A2,编码员A!$A:$A,0)))</f>
        <v>0</v>
      </c>
      <c r="G2" s="9">
        <f t="array" ref="G2">=IF($A2="","",INDEX(编码员B!$F:$F,MATCH($A2,编码员B!$A:$A,0)))</f>
        <v>1</v>
      </c>
      <c r="H2" s="8">
        <v>0.5</v>
      </c>
      <c r="I2" s="9">
        <f>=IF(OR(F2="",G2=""),"",IF(F2=G2,1,0))</f>
        <v>0</v>
      </c>
      <c r="J2" s="8" t="s">
        <v>613</v>
      </c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9" t="str">
        <f>=样本清单!A3</f>
        <v>M1_P1_02</v>
      </c>
      <c r="B3" s="9" t="str">
        <f>=样本清单!B3</f>
        <v>M1</v>
      </c>
      <c r="C3" s="9" t="str">
        <f>=样本清单!C3</f>
        <v>ChatGPT Images 2.0</v>
      </c>
      <c r="D3" s="9" t="str">
        <f>=样本清单!D3</f>
        <v>P1</v>
      </c>
      <c r="E3" s="9">
        <f>=样本清单!F3</f>
        <v>2</v>
      </c>
      <c r="F3" s="9">
        <f t="array" ref="F3">=IF($A3="","",INDEX(编码员A!$F:$F,MATCH($A3,编码员A!$A:$A,0)))</f>
        <v>0</v>
      </c>
      <c r="G3" s="9">
        <f t="array" ref="G3">=IF($A3="","",INDEX(编码员B!$F:$F,MATCH($A3,编码员B!$A:$A,0)))</f>
        <v>0</v>
      </c>
      <c r="H3" s="8">
        <v>0</v>
      </c>
      <c r="I3" s="9">
        <f>=IF(OR(F3="",G3=""),"",IF(F3=G3,1,0))</f>
        <v>1</v>
      </c>
      <c r="J3" s="8" t="s">
        <v>614</v>
      </c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9" t="str">
        <f>=样本清单!A4</f>
        <v>M1_P1_03</v>
      </c>
      <c r="B4" s="9" t="str">
        <f>=样本清单!B4</f>
        <v>M1</v>
      </c>
      <c r="C4" s="9" t="str">
        <f>=样本清单!C4</f>
        <v>ChatGPT Images 2.0</v>
      </c>
      <c r="D4" s="9" t="str">
        <f>=样本清单!D4</f>
        <v>P1</v>
      </c>
      <c r="E4" s="9">
        <f>=样本清单!F4</f>
        <v>3</v>
      </c>
      <c r="F4" s="9">
        <f t="array" ref="F4">=IF($A4="","",INDEX(编码员A!$F:$F,MATCH($A4,编码员A!$A:$A,0)))</f>
        <v>1</v>
      </c>
      <c r="G4" s="9">
        <f t="array" ref="G4">=IF($A4="","",INDEX(编码员B!$F:$F,MATCH($A4,编码员B!$A:$A,0)))</f>
        <v>0</v>
      </c>
      <c r="H4" s="8">
        <v>0.5</v>
      </c>
      <c r="I4" s="9">
        <f>=IF(OR(F4="",G4=""),"",IF(F4=G4,1,0))</f>
        <v>0</v>
      </c>
      <c r="J4" s="8" t="s">
        <v>613</v>
      </c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9" t="str">
        <f>=样本清单!A5</f>
        <v>M1_P1_04</v>
      </c>
      <c r="B5" s="9" t="str">
        <f>=样本清单!B5</f>
        <v>M1</v>
      </c>
      <c r="C5" s="9" t="str">
        <f>=样本清单!C5</f>
        <v>ChatGPT Images 2.0</v>
      </c>
      <c r="D5" s="9" t="str">
        <f>=样本清单!D5</f>
        <v>P1</v>
      </c>
      <c r="E5" s="9">
        <f>=样本清单!F5</f>
        <v>4</v>
      </c>
      <c r="F5" s="9">
        <f t="array" ref="F5">=IF($A5="","",INDEX(编码员A!$F:$F,MATCH($A5,编码员A!$A:$A,0)))</f>
        <v>0</v>
      </c>
      <c r="G5" s="9">
        <f t="array" ref="G5">=IF($A5="","",INDEX(编码员B!$F:$F,MATCH($A5,编码员B!$A:$A,0)))</f>
        <v>0</v>
      </c>
      <c r="H5" s="8">
        <v>0</v>
      </c>
      <c r="I5" s="9">
        <f>=IF(OR(F5="",G5=""),"",IF(F5=G5,1,0))</f>
        <v>1</v>
      </c>
      <c r="J5" s="8" t="s">
        <v>614</v>
      </c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9" t="str">
        <f>=样本清单!A6</f>
        <v>M1_P1_05</v>
      </c>
      <c r="B6" s="9" t="str">
        <f>=样本清单!B6</f>
        <v>M1</v>
      </c>
      <c r="C6" s="9" t="str">
        <f>=样本清单!C6</f>
        <v>ChatGPT Images 2.0</v>
      </c>
      <c r="D6" s="9" t="str">
        <f>=样本清单!D6</f>
        <v>P1</v>
      </c>
      <c r="E6" s="9">
        <f>=样本清单!F6</f>
        <v>5</v>
      </c>
      <c r="F6" s="9">
        <f t="array" ref="F6">=IF($A6="","",INDEX(编码员A!$F:$F,MATCH($A6,编码员A!$A:$A,0)))</f>
        <v>0</v>
      </c>
      <c r="G6" s="9">
        <f t="array" ref="G6">=IF($A6="","",INDEX(编码员B!$F:$F,MATCH($A6,编码员B!$A:$A,0)))</f>
        <v>1</v>
      </c>
      <c r="H6" s="8">
        <v>0.5</v>
      </c>
      <c r="I6" s="9">
        <f>=IF(OR(F6="",G6=""),"",IF(F6=G6,1,0))</f>
        <v>0</v>
      </c>
      <c r="J6" s="8" t="s">
        <v>613</v>
      </c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9" t="str">
        <f>=样本清单!A7</f>
        <v>M1_P1_06</v>
      </c>
      <c r="B7" s="9" t="str">
        <f>=样本清单!B7</f>
        <v>M1</v>
      </c>
      <c r="C7" s="9" t="str">
        <f>=样本清单!C7</f>
        <v>ChatGPT Images 2.0</v>
      </c>
      <c r="D7" s="9" t="str">
        <f>=样本清单!D7</f>
        <v>P1</v>
      </c>
      <c r="E7" s="9">
        <f>=样本清单!F7</f>
        <v>6</v>
      </c>
      <c r="F7" s="9">
        <f t="array" ref="F7">=IF($A7="","",INDEX(编码员A!$F:$F,MATCH($A7,编码员A!$A:$A,0)))</f>
        <v>0</v>
      </c>
      <c r="G7" s="9">
        <f t="array" ref="G7">=IF($A7="","",INDEX(编码员B!$F:$F,MATCH($A7,编码员B!$A:$A,0)))</f>
        <v>1</v>
      </c>
      <c r="H7" s="8">
        <v>0.5</v>
      </c>
      <c r="I7" s="9">
        <f>=IF(OR(F7="",G7=""),"",IF(F7=G7,1,0))</f>
        <v>0</v>
      </c>
      <c r="J7" s="8" t="s">
        <v>613</v>
      </c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9" t="str">
        <f>=样本清单!A8</f>
        <v>M1_P1_07</v>
      </c>
      <c r="B8" s="9" t="str">
        <f>=样本清单!B8</f>
        <v>M1</v>
      </c>
      <c r="C8" s="9" t="str">
        <f>=样本清单!C8</f>
        <v>ChatGPT Images 2.0</v>
      </c>
      <c r="D8" s="9" t="str">
        <f>=样本清单!D8</f>
        <v>P1</v>
      </c>
      <c r="E8" s="9">
        <f>=样本清单!F8</f>
        <v>7</v>
      </c>
      <c r="F8" s="9">
        <f t="array" ref="F8">=IF($A8="","",INDEX(编码员A!$F:$F,MATCH($A8,编码员A!$A:$A,0)))</f>
        <v>1</v>
      </c>
      <c r="G8" s="9">
        <f t="array" ref="G8">=IF($A8="","",INDEX(编码员B!$F:$F,MATCH($A8,编码员B!$A:$A,0)))</f>
        <v>2</v>
      </c>
      <c r="H8" s="8">
        <v>1.5</v>
      </c>
      <c r="I8" s="9">
        <f>=IF(OR(F8="",G8=""),"",IF(F8=G8,1,0))</f>
        <v>0</v>
      </c>
      <c r="J8" s="8" t="s">
        <v>613</v>
      </c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9" t="str">
        <f>=样本清单!A9</f>
        <v>M1_P1_08</v>
      </c>
      <c r="B9" s="9" t="str">
        <f>=样本清单!B9</f>
        <v>M1</v>
      </c>
      <c r="C9" s="9" t="str">
        <f>=样本清单!C9</f>
        <v>ChatGPT Images 2.0</v>
      </c>
      <c r="D9" s="9" t="str">
        <f>=样本清单!D9</f>
        <v>P1</v>
      </c>
      <c r="E9" s="9">
        <f>=样本清单!F9</f>
        <v>8</v>
      </c>
      <c r="F9" s="9">
        <f t="array" ref="F9">=IF($A9="","",INDEX(编码员A!$F:$F,MATCH($A9,编码员A!$A:$A,0)))</f>
        <v>1</v>
      </c>
      <c r="G9" s="9">
        <f t="array" ref="G9">=IF($A9="","",INDEX(编码员B!$F:$F,MATCH($A9,编码员B!$A:$A,0)))</f>
        <v>1</v>
      </c>
      <c r="H9" s="8">
        <v>1</v>
      </c>
      <c r="I9" s="9">
        <f>=IF(OR(F9="",G9=""),"",IF(F9=G9,1,0))</f>
        <v>1</v>
      </c>
      <c r="J9" s="8" t="s">
        <v>614</v>
      </c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9" t="str">
        <f>=样本清单!A10</f>
        <v>M1_P1_09</v>
      </c>
      <c r="B10" s="9" t="str">
        <f>=样本清单!B10</f>
        <v>M1</v>
      </c>
      <c r="C10" s="9" t="str">
        <f>=样本清单!C10</f>
        <v>ChatGPT Images 2.0</v>
      </c>
      <c r="D10" s="9" t="str">
        <f>=样本清单!D10</f>
        <v>P1</v>
      </c>
      <c r="E10" s="9">
        <f>=样本清单!F10</f>
        <v>9</v>
      </c>
      <c r="F10" s="9">
        <f t="array" ref="F10">=IF($A10="","",INDEX(编码员A!$F:$F,MATCH($A10,编码员A!$A:$A,0)))</f>
        <v>0</v>
      </c>
      <c r="G10" s="9">
        <f t="array" ref="G10">=IF($A10="","",INDEX(编码员B!$F:$F,MATCH($A10,编码员B!$A:$A,0)))</f>
        <v>1</v>
      </c>
      <c r="H10" s="8">
        <v>0.5</v>
      </c>
      <c r="I10" s="9">
        <f>=IF(OR(F10="",G10=""),"",IF(F10=G10,1,0))</f>
        <v>0</v>
      </c>
      <c r="J10" s="8" t="s">
        <v>613</v>
      </c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9" t="str">
        <f>=样本清单!A11</f>
        <v>M1_P2_01</v>
      </c>
      <c r="B11" s="9" t="str">
        <f>=样本清单!B11</f>
        <v>M1</v>
      </c>
      <c r="C11" s="9" t="str">
        <f>=样本清单!C11</f>
        <v>ChatGPT Images 2.0</v>
      </c>
      <c r="D11" s="9" t="str">
        <f>=样本清单!D11</f>
        <v>P2</v>
      </c>
      <c r="E11" s="9">
        <f>=样本清单!F11</f>
        <v>1</v>
      </c>
      <c r="F11" s="9">
        <f t="array" ref="F11">=IF($A11="","",INDEX(编码员A!$F:$F,MATCH($A11,编码员A!$A:$A,0)))</f>
        <v>1</v>
      </c>
      <c r="G11" s="9">
        <f t="array" ref="G11">=IF($A11="","",INDEX(编码员B!$F:$F,MATCH($A11,编码员B!$A:$A,0)))</f>
        <v>1</v>
      </c>
      <c r="H11" s="8">
        <v>1</v>
      </c>
      <c r="I11" s="9">
        <f>=IF(OR(F11="",G11=""),"",IF(F11=G11,1,0))</f>
        <v>1</v>
      </c>
      <c r="J11" s="8" t="s">
        <v>614</v>
      </c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9" t="str">
        <f>=样本清单!A12</f>
        <v>M1_P2_02</v>
      </c>
      <c r="B12" s="9" t="str">
        <f>=样本清单!B12</f>
        <v>M1</v>
      </c>
      <c r="C12" s="9" t="str">
        <f>=样本清单!C12</f>
        <v>ChatGPT Images 2.0</v>
      </c>
      <c r="D12" s="9" t="str">
        <f>=样本清单!D12</f>
        <v>P2</v>
      </c>
      <c r="E12" s="9">
        <f>=样本清单!F12</f>
        <v>2</v>
      </c>
      <c r="F12" s="9">
        <f t="array" ref="F12">=IF($A12="","",INDEX(编码员A!$F:$F,MATCH($A12,编码员A!$A:$A,0)))</f>
        <v>1</v>
      </c>
      <c r="G12" s="9">
        <f t="array" ref="G12">=IF($A12="","",INDEX(编码员B!$F:$F,MATCH($A12,编码员B!$A:$A,0)))</f>
        <v>1</v>
      </c>
      <c r="H12" s="8">
        <v>1</v>
      </c>
      <c r="I12" s="9">
        <f>=IF(OR(F12="",G12=""),"",IF(F12=G12,1,0))</f>
        <v>1</v>
      </c>
      <c r="J12" s="8" t="s">
        <v>614</v>
      </c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9" t="str">
        <f>=样本清单!A13</f>
        <v>M1_P2_03</v>
      </c>
      <c r="B13" s="9" t="str">
        <f>=样本清单!B13</f>
        <v>M1</v>
      </c>
      <c r="C13" s="9" t="str">
        <f>=样本清单!C13</f>
        <v>ChatGPT Images 2.0</v>
      </c>
      <c r="D13" s="9" t="str">
        <f>=样本清单!D13</f>
        <v>P2</v>
      </c>
      <c r="E13" s="9">
        <f>=样本清单!F13</f>
        <v>3</v>
      </c>
      <c r="F13" s="9">
        <f t="array" ref="F13">=IF($A13="","",INDEX(编码员A!$F:$F,MATCH($A13,编码员A!$A:$A,0)))</f>
        <v>1</v>
      </c>
      <c r="G13" s="9">
        <f t="array" ref="G13">=IF($A13="","",INDEX(编码员B!$F:$F,MATCH($A13,编码员B!$A:$A,0)))</f>
        <v>1</v>
      </c>
      <c r="H13" s="8">
        <v>1</v>
      </c>
      <c r="I13" s="9">
        <f>=IF(OR(F13="",G13=""),"",IF(F13=G13,1,0))</f>
        <v>1</v>
      </c>
      <c r="J13" s="8" t="s">
        <v>614</v>
      </c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9" t="str">
        <f>=样本清单!A14</f>
        <v>M1_P2_04</v>
      </c>
      <c r="B14" s="9" t="str">
        <f>=样本清单!B14</f>
        <v>M1</v>
      </c>
      <c r="C14" s="9" t="str">
        <f>=样本清单!C14</f>
        <v>ChatGPT Images 2.0</v>
      </c>
      <c r="D14" s="9" t="str">
        <f>=样本清单!D14</f>
        <v>P2</v>
      </c>
      <c r="E14" s="9">
        <f>=样本清单!F14</f>
        <v>4</v>
      </c>
      <c r="F14" s="9">
        <f t="array" ref="F14">=IF($A14="","",INDEX(编码员A!$F:$F,MATCH($A14,编码员A!$A:$A,0)))</f>
        <v>1</v>
      </c>
      <c r="G14" s="9">
        <f t="array" ref="G14">=IF($A14="","",INDEX(编码员B!$F:$F,MATCH($A14,编码员B!$A:$A,0)))</f>
        <v>1</v>
      </c>
      <c r="H14" s="8">
        <v>1</v>
      </c>
      <c r="I14" s="9">
        <f>=IF(OR(F14="",G14=""),"",IF(F14=G14,1,0))</f>
        <v>1</v>
      </c>
      <c r="J14" s="8" t="s">
        <v>614</v>
      </c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9" t="str">
        <f>=样本清单!A15</f>
        <v>M1_P2_05</v>
      </c>
      <c r="B15" s="9" t="str">
        <f>=样本清单!B15</f>
        <v>M1</v>
      </c>
      <c r="C15" s="9" t="str">
        <f>=样本清单!C15</f>
        <v>ChatGPT Images 2.0</v>
      </c>
      <c r="D15" s="9" t="str">
        <f>=样本清单!D15</f>
        <v>P2</v>
      </c>
      <c r="E15" s="9">
        <f>=样本清单!F15</f>
        <v>5</v>
      </c>
      <c r="F15" s="9">
        <f t="array" ref="F15">=IF($A15="","",INDEX(编码员A!$F:$F,MATCH($A15,编码员A!$A:$A,0)))</f>
        <v>2</v>
      </c>
      <c r="G15" s="9">
        <f t="array" ref="G15">=IF($A15="","",INDEX(编码员B!$F:$F,MATCH($A15,编码员B!$A:$A,0)))</f>
        <v>1</v>
      </c>
      <c r="H15" s="8">
        <v>1.5</v>
      </c>
      <c r="I15" s="9">
        <f>=IF(OR(F15="",G15=""),"",IF(F15=G15,1,0))</f>
        <v>0</v>
      </c>
      <c r="J15" s="8" t="s">
        <v>613</v>
      </c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9" t="str">
        <f>=样本清单!A16</f>
        <v>M1_P2_06</v>
      </c>
      <c r="B16" s="9" t="str">
        <f>=样本清单!B16</f>
        <v>M1</v>
      </c>
      <c r="C16" s="9" t="str">
        <f>=样本清单!C16</f>
        <v>ChatGPT Images 2.0</v>
      </c>
      <c r="D16" s="9" t="str">
        <f>=样本清单!D16</f>
        <v>P2</v>
      </c>
      <c r="E16" s="9">
        <f>=样本清单!F16</f>
        <v>6</v>
      </c>
      <c r="F16" s="9">
        <f t="array" ref="F16">=IF($A16="","",INDEX(编码员A!$F:$F,MATCH($A16,编码员A!$A:$A,0)))</f>
        <v>1</v>
      </c>
      <c r="G16" s="9">
        <f t="array" ref="G16">=IF($A16="","",INDEX(编码员B!$F:$F,MATCH($A16,编码员B!$A:$A,0)))</f>
        <v>1</v>
      </c>
      <c r="H16" s="8">
        <v>1</v>
      </c>
      <c r="I16" s="9">
        <f>=IF(OR(F16="",G16=""),"",IF(F16=G16,1,0))</f>
        <v>1</v>
      </c>
      <c r="J16" s="8" t="s">
        <v>614</v>
      </c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9" t="str">
        <f>=样本清单!A17</f>
        <v>M1_P2_07</v>
      </c>
      <c r="B17" s="9" t="str">
        <f>=样本清单!B17</f>
        <v>M1</v>
      </c>
      <c r="C17" s="9" t="str">
        <f>=样本清单!C17</f>
        <v>ChatGPT Images 2.0</v>
      </c>
      <c r="D17" s="9" t="str">
        <f>=样本清单!D17</f>
        <v>P2</v>
      </c>
      <c r="E17" s="9">
        <f>=样本清单!F17</f>
        <v>7</v>
      </c>
      <c r="F17" s="9">
        <f t="array" ref="F17">=IF($A17="","",INDEX(编码员A!$F:$F,MATCH($A17,编码员A!$A:$A,0)))</f>
        <v>1</v>
      </c>
      <c r="G17" s="9">
        <f t="array" ref="G17">=IF($A17="","",INDEX(编码员B!$F:$F,MATCH($A17,编码员B!$A:$A,0)))</f>
        <v>1</v>
      </c>
      <c r="H17" s="8">
        <v>1</v>
      </c>
      <c r="I17" s="9">
        <f>=IF(OR(F17="",G17=""),"",IF(F17=G17,1,0))</f>
        <v>1</v>
      </c>
      <c r="J17" s="8" t="s">
        <v>614</v>
      </c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9" t="str">
        <f>=样本清单!A18</f>
        <v>M1_P2_08</v>
      </c>
      <c r="B18" s="9" t="str">
        <f>=样本清单!B18</f>
        <v>M1</v>
      </c>
      <c r="C18" s="9" t="str">
        <f>=样本清单!C18</f>
        <v>ChatGPT Images 2.0</v>
      </c>
      <c r="D18" s="9" t="str">
        <f>=样本清单!D18</f>
        <v>P2</v>
      </c>
      <c r="E18" s="9">
        <f>=样本清单!F18</f>
        <v>8</v>
      </c>
      <c r="F18" s="9">
        <f t="array" ref="F18">=IF($A18="","",INDEX(编码员A!$F:$F,MATCH($A18,编码员A!$A:$A,0)))</f>
        <v>2</v>
      </c>
      <c r="G18" s="9">
        <f t="array" ref="G18">=IF($A18="","",INDEX(编码员B!$F:$F,MATCH($A18,编码员B!$A:$A,0)))</f>
        <v>1</v>
      </c>
      <c r="H18" s="8">
        <v>1.5</v>
      </c>
      <c r="I18" s="9">
        <f>=IF(OR(F18="",G18=""),"",IF(F18=G18,1,0))</f>
        <v>0</v>
      </c>
      <c r="J18" s="8" t="s">
        <v>613</v>
      </c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9" t="str">
        <f>=样本清单!A19</f>
        <v>M1_P2_09</v>
      </c>
      <c r="B19" s="9" t="str">
        <f>=样本清单!B19</f>
        <v>M1</v>
      </c>
      <c r="C19" s="9" t="str">
        <f>=样本清单!C19</f>
        <v>ChatGPT Images 2.0</v>
      </c>
      <c r="D19" s="9" t="str">
        <f>=样本清单!D19</f>
        <v>P2</v>
      </c>
      <c r="E19" s="9">
        <f>=样本清单!F19</f>
        <v>9</v>
      </c>
      <c r="F19" s="9">
        <f t="array" ref="F19">=IF($A19="","",INDEX(编码员A!$F:$F,MATCH($A19,编码员A!$A:$A,0)))</f>
        <v>1</v>
      </c>
      <c r="G19" s="9">
        <f t="array" ref="G19">=IF($A19="","",INDEX(编码员B!$F:$F,MATCH($A19,编码员B!$A:$A,0)))</f>
        <v>1</v>
      </c>
      <c r="H19" s="8">
        <v>1</v>
      </c>
      <c r="I19" s="9">
        <f>=IF(OR(F19="",G19=""),"",IF(F19=G19,1,0))</f>
        <v>1</v>
      </c>
      <c r="J19" s="8" t="s">
        <v>614</v>
      </c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9" t="str">
        <f>=样本清单!A20</f>
        <v>M1_P3_01</v>
      </c>
      <c r="B20" s="9" t="str">
        <f>=样本清单!B20</f>
        <v>M1</v>
      </c>
      <c r="C20" s="9" t="str">
        <f>=样本清单!C20</f>
        <v>ChatGPT Images 2.0</v>
      </c>
      <c r="D20" s="9" t="str">
        <f>=样本清单!D20</f>
        <v>P3</v>
      </c>
      <c r="E20" s="9">
        <f>=样本清单!F20</f>
        <v>1</v>
      </c>
      <c r="F20" s="9">
        <f t="array" ref="F20">=IF($A20="","",INDEX(编码员A!$F:$F,MATCH($A20,编码员A!$A:$A,0)))</f>
        <v>0</v>
      </c>
      <c r="G20" s="9">
        <f t="array" ref="G20">=IF($A20="","",INDEX(编码员B!$F:$F,MATCH($A20,编码员B!$A:$A,0)))</f>
        <v>1</v>
      </c>
      <c r="H20" s="8">
        <v>0.5</v>
      </c>
      <c r="I20" s="9">
        <f>=IF(OR(F20="",G20=""),"",IF(F20=G20,1,0))</f>
        <v>0</v>
      </c>
      <c r="J20" s="8" t="s">
        <v>613</v>
      </c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9" t="str">
        <f>=样本清单!A21</f>
        <v>M1_P3_02</v>
      </c>
      <c r="B21" s="9" t="str">
        <f>=样本清单!B21</f>
        <v>M1</v>
      </c>
      <c r="C21" s="9" t="str">
        <f>=样本清单!C21</f>
        <v>ChatGPT Images 2.0</v>
      </c>
      <c r="D21" s="9" t="str">
        <f>=样本清单!D21</f>
        <v>P3</v>
      </c>
      <c r="E21" s="9">
        <f>=样本清单!F21</f>
        <v>2</v>
      </c>
      <c r="F21" s="9">
        <f t="array" ref="F21">=IF($A21="","",INDEX(编码员A!$F:$F,MATCH($A21,编码员A!$A:$A,0)))</f>
        <v>1</v>
      </c>
      <c r="G21" s="9">
        <f t="array" ref="G21">=IF($A21="","",INDEX(编码员B!$F:$F,MATCH($A21,编码员B!$A:$A,0)))</f>
        <v>1</v>
      </c>
      <c r="H21" s="8">
        <v>1</v>
      </c>
      <c r="I21" s="9">
        <f>=IF(OR(F21="",G21=""),"",IF(F21=G21,1,0))</f>
        <v>1</v>
      </c>
      <c r="J21" s="8" t="s">
        <v>614</v>
      </c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9" t="str">
        <f>=样本清单!A22</f>
        <v>M1_P3_03</v>
      </c>
      <c r="B22" s="9" t="str">
        <f>=样本清单!B22</f>
        <v>M1</v>
      </c>
      <c r="C22" s="9" t="str">
        <f>=样本清单!C22</f>
        <v>ChatGPT Images 2.0</v>
      </c>
      <c r="D22" s="9" t="str">
        <f>=样本清单!D22</f>
        <v>P3</v>
      </c>
      <c r="E22" s="9">
        <f>=样本清单!F22</f>
        <v>3</v>
      </c>
      <c r="F22" s="9">
        <f t="array" ref="F22">=IF($A22="","",INDEX(编码员A!$F:$F,MATCH($A22,编码员A!$A:$A,0)))</f>
        <v>1</v>
      </c>
      <c r="G22" s="9">
        <f t="array" ref="G22">=IF($A22="","",INDEX(编码员B!$F:$F,MATCH($A22,编码员B!$A:$A,0)))</f>
        <v>1</v>
      </c>
      <c r="H22" s="8">
        <v>1</v>
      </c>
      <c r="I22" s="9">
        <f>=IF(OR(F22="",G22=""),"",IF(F22=G22,1,0))</f>
        <v>1</v>
      </c>
      <c r="J22" s="8" t="s">
        <v>614</v>
      </c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9" t="str">
        <f>=样本清单!A23</f>
        <v>M1_P3_04</v>
      </c>
      <c r="B23" s="9" t="str">
        <f>=样本清单!B23</f>
        <v>M1</v>
      </c>
      <c r="C23" s="9" t="str">
        <f>=样本清单!C23</f>
        <v>ChatGPT Images 2.0</v>
      </c>
      <c r="D23" s="9" t="str">
        <f>=样本清单!D23</f>
        <v>P3</v>
      </c>
      <c r="E23" s="9">
        <f>=样本清单!F23</f>
        <v>4</v>
      </c>
      <c r="F23" s="9">
        <f t="array" ref="F23">=IF($A23="","",INDEX(编码员A!$F:$F,MATCH($A23,编码员A!$A:$A,0)))</f>
        <v>2</v>
      </c>
      <c r="G23" s="9">
        <f t="array" ref="G23">=IF($A23="","",INDEX(编码员B!$F:$F,MATCH($A23,编码员B!$A:$A,0)))</f>
        <v>2</v>
      </c>
      <c r="H23" s="8">
        <v>2</v>
      </c>
      <c r="I23" s="9">
        <f>=IF(OR(F23="",G23=""),"",IF(F23=G23,1,0))</f>
        <v>1</v>
      </c>
      <c r="J23" s="8" t="s">
        <v>614</v>
      </c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9" t="str">
        <f>=样本清单!A24</f>
        <v>M1_P3_05</v>
      </c>
      <c r="B24" s="9" t="str">
        <f>=样本清单!B24</f>
        <v>M1</v>
      </c>
      <c r="C24" s="9" t="str">
        <f>=样本清单!C24</f>
        <v>ChatGPT Images 2.0</v>
      </c>
      <c r="D24" s="9" t="str">
        <f>=样本清单!D24</f>
        <v>P3</v>
      </c>
      <c r="E24" s="9">
        <f>=样本清单!F24</f>
        <v>5</v>
      </c>
      <c r="F24" s="9">
        <f t="array" ref="F24">=IF($A24="","",INDEX(编码员A!$F:$F,MATCH($A24,编码员A!$A:$A,0)))</f>
        <v>1</v>
      </c>
      <c r="G24" s="9">
        <f t="array" ref="G24">=IF($A24="","",INDEX(编码员B!$F:$F,MATCH($A24,编码员B!$A:$A,0)))</f>
        <v>2</v>
      </c>
      <c r="H24" s="8">
        <v>1.5</v>
      </c>
      <c r="I24" s="9">
        <f>=IF(OR(F24="",G24=""),"",IF(F24=G24,1,0))</f>
        <v>0</v>
      </c>
      <c r="J24" s="8" t="s">
        <v>613</v>
      </c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9" t="str">
        <f>=样本清单!A25</f>
        <v>M1_P3_06</v>
      </c>
      <c r="B25" s="9" t="str">
        <f>=样本清单!B25</f>
        <v>M1</v>
      </c>
      <c r="C25" s="9" t="str">
        <f>=样本清单!C25</f>
        <v>ChatGPT Images 2.0</v>
      </c>
      <c r="D25" s="9" t="str">
        <f>=样本清单!D25</f>
        <v>P3</v>
      </c>
      <c r="E25" s="9">
        <f>=样本清单!F25</f>
        <v>6</v>
      </c>
      <c r="F25" s="9">
        <f t="array" ref="F25">=IF($A25="","",INDEX(编码员A!$F:$F,MATCH($A25,编码员A!$A:$A,0)))</f>
        <v>2</v>
      </c>
      <c r="G25" s="9">
        <f t="array" ref="G25">=IF($A25="","",INDEX(编码员B!$F:$F,MATCH($A25,编码员B!$A:$A,0)))</f>
        <v>2</v>
      </c>
      <c r="H25" s="8">
        <v>2</v>
      </c>
      <c r="I25" s="9">
        <f>=IF(OR(F25="",G25=""),"",IF(F25=G25,1,0))</f>
        <v>1</v>
      </c>
      <c r="J25" s="8" t="s">
        <v>614</v>
      </c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9" t="str">
        <f>=样本清单!A26</f>
        <v>M1_P3_07</v>
      </c>
      <c r="B26" s="9" t="str">
        <f>=样本清单!B26</f>
        <v>M1</v>
      </c>
      <c r="C26" s="9" t="str">
        <f>=样本清单!C26</f>
        <v>ChatGPT Images 2.0</v>
      </c>
      <c r="D26" s="9" t="str">
        <f>=样本清单!D26</f>
        <v>P3</v>
      </c>
      <c r="E26" s="9">
        <f>=样本清单!F26</f>
        <v>7</v>
      </c>
      <c r="F26" s="9">
        <f t="array" ref="F26">=IF($A26="","",INDEX(编码员A!$F:$F,MATCH($A26,编码员A!$A:$A,0)))</f>
        <v>1</v>
      </c>
      <c r="G26" s="9">
        <f t="array" ref="G26">=IF($A26="","",INDEX(编码员B!$F:$F,MATCH($A26,编码员B!$A:$A,0)))</f>
        <v>2</v>
      </c>
      <c r="H26" s="8">
        <v>1.5</v>
      </c>
      <c r="I26" s="9">
        <f>=IF(OR(F26="",G26=""),"",IF(F26=G26,1,0))</f>
        <v>0</v>
      </c>
      <c r="J26" s="8" t="s">
        <v>613</v>
      </c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9" t="str">
        <f>=样本清单!A27</f>
        <v>M1_P3_08</v>
      </c>
      <c r="B27" s="9" t="str">
        <f>=样本清单!B27</f>
        <v>M1</v>
      </c>
      <c r="C27" s="9" t="str">
        <f>=样本清单!C27</f>
        <v>ChatGPT Images 2.0</v>
      </c>
      <c r="D27" s="9" t="str">
        <f>=样本清单!D27</f>
        <v>P3</v>
      </c>
      <c r="E27" s="9">
        <f>=样本清单!F27</f>
        <v>8</v>
      </c>
      <c r="F27" s="9">
        <f t="array" ref="F27">=IF($A27="","",INDEX(编码员A!$F:$F,MATCH($A27,编码员A!$A:$A,0)))</f>
        <v>1</v>
      </c>
      <c r="G27" s="9">
        <f t="array" ref="G27">=IF($A27="","",INDEX(编码员B!$F:$F,MATCH($A27,编码员B!$A:$A,0)))</f>
        <v>2</v>
      </c>
      <c r="H27" s="8">
        <v>1.5</v>
      </c>
      <c r="I27" s="9">
        <f>=IF(OR(F27="",G27=""),"",IF(F27=G27,1,0))</f>
        <v>0</v>
      </c>
      <c r="J27" s="8" t="s">
        <v>613</v>
      </c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9" t="str">
        <f>=样本清单!A28</f>
        <v>M1_P3_09</v>
      </c>
      <c r="B28" s="9" t="str">
        <f>=样本清单!B28</f>
        <v>M1</v>
      </c>
      <c r="C28" s="9" t="str">
        <f>=样本清单!C28</f>
        <v>ChatGPT Images 2.0</v>
      </c>
      <c r="D28" s="9" t="str">
        <f>=样本清单!D28</f>
        <v>P3</v>
      </c>
      <c r="E28" s="9">
        <f>=样本清单!F28</f>
        <v>9</v>
      </c>
      <c r="F28" s="9">
        <f t="array" ref="F28">=IF($A28="","",INDEX(编码员A!$F:$F,MATCH($A28,编码员A!$A:$A,0)))</f>
        <v>2</v>
      </c>
      <c r="G28" s="9">
        <f t="array" ref="G28">=IF($A28="","",INDEX(编码员B!$F:$F,MATCH($A28,编码员B!$A:$A,0)))</f>
        <v>2</v>
      </c>
      <c r="H28" s="8">
        <v>2</v>
      </c>
      <c r="I28" s="9">
        <f>=IF(OR(F28="",G28=""),"",IF(F28=G28,1,0))</f>
        <v>1</v>
      </c>
      <c r="J28" s="8" t="s">
        <v>614</v>
      </c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9" t="str">
        <f>=样本清单!A29</f>
        <v>M2_P1_01</v>
      </c>
      <c r="B29" s="9" t="str">
        <f>=样本清单!B29</f>
        <v>M2</v>
      </c>
      <c r="C29" s="9" t="str">
        <f>=样本清单!C29</f>
        <v>gemini-3.1-flash-image</v>
      </c>
      <c r="D29" s="9" t="str">
        <f>=样本清单!D29</f>
        <v>P1</v>
      </c>
      <c r="E29" s="9">
        <f>=样本清单!F29</f>
        <v>1</v>
      </c>
      <c r="F29" s="9">
        <f t="array" ref="F29">=IF($A29="","",INDEX(编码员A!$F:$F,MATCH($A29,编码员A!$A:$A,0)))</f>
        <v>1</v>
      </c>
      <c r="G29" s="9">
        <f t="array" ref="G29">=IF($A29="","",INDEX(编码员B!$F:$F,MATCH($A29,编码员B!$A:$A,0)))</f>
        <v>1</v>
      </c>
      <c r="H29" s="8">
        <v>1</v>
      </c>
      <c r="I29" s="9">
        <f>=IF(OR(F29="",G29=""),"",IF(F29=G29,1,0))</f>
        <v>1</v>
      </c>
      <c r="J29" s="8" t="s">
        <v>614</v>
      </c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9" t="str">
        <f>=样本清单!A30</f>
        <v>M2_P1_02</v>
      </c>
      <c r="B30" s="9" t="str">
        <f>=样本清单!B30</f>
        <v>M2</v>
      </c>
      <c r="C30" s="9" t="str">
        <f>=样本清单!C30</f>
        <v>gemini-3.1-flash-image</v>
      </c>
      <c r="D30" s="9" t="str">
        <f>=样本清单!D30</f>
        <v>P1</v>
      </c>
      <c r="E30" s="9">
        <f>=样本清单!F30</f>
        <v>2</v>
      </c>
      <c r="F30" s="9">
        <f t="array" ref="F30">=IF($A30="","",INDEX(编码员A!$F:$F,MATCH($A30,编码员A!$A:$A,0)))</f>
        <v>1</v>
      </c>
      <c r="G30" s="9">
        <f t="array" ref="G30">=IF($A30="","",INDEX(编码员B!$F:$F,MATCH($A30,编码员B!$A:$A,0)))</f>
        <v>1</v>
      </c>
      <c r="H30" s="8">
        <v>1</v>
      </c>
      <c r="I30" s="9">
        <f>=IF(OR(F30="",G30=""),"",IF(F30=G30,1,0))</f>
        <v>1</v>
      </c>
      <c r="J30" s="8" t="s">
        <v>614</v>
      </c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9" t="str">
        <f>=样本清单!A31</f>
        <v>M2_P1_03</v>
      </c>
      <c r="B31" s="9" t="str">
        <f>=样本清单!B31</f>
        <v>M2</v>
      </c>
      <c r="C31" s="9" t="str">
        <f>=样本清单!C31</f>
        <v>gemini-3.1-flash-image</v>
      </c>
      <c r="D31" s="9" t="str">
        <f>=样本清单!D31</f>
        <v>P1</v>
      </c>
      <c r="E31" s="9">
        <f>=样本清单!F31</f>
        <v>3</v>
      </c>
      <c r="F31" s="9">
        <f t="array" ref="F31">=IF($A31="","",INDEX(编码员A!$F:$F,MATCH($A31,编码员A!$A:$A,0)))</f>
        <v>2</v>
      </c>
      <c r="G31" s="9">
        <f t="array" ref="G31">=IF($A31="","",INDEX(编码员B!$F:$F,MATCH($A31,编码员B!$A:$A,0)))</f>
        <v>1</v>
      </c>
      <c r="H31" s="8">
        <v>1.5</v>
      </c>
      <c r="I31" s="9">
        <f>=IF(OR(F31="",G31=""),"",IF(F31=G31,1,0))</f>
        <v>0</v>
      </c>
      <c r="J31" s="8" t="s">
        <v>613</v>
      </c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9" t="str">
        <f>=样本清单!A32</f>
        <v>M2_P1_04</v>
      </c>
      <c r="B32" s="9" t="str">
        <f>=样本清单!B32</f>
        <v>M2</v>
      </c>
      <c r="C32" s="9" t="str">
        <f>=样本清单!C32</f>
        <v>gemini-3.1-flash-image</v>
      </c>
      <c r="D32" s="9" t="str">
        <f>=样本清单!D32</f>
        <v>P1</v>
      </c>
      <c r="E32" s="9">
        <f>=样本清单!F32</f>
        <v>4</v>
      </c>
      <c r="F32" s="9">
        <f t="array" ref="F32">=IF($A32="","",INDEX(编码员A!$F:$F,MATCH($A32,编码员A!$A:$A,0)))</f>
        <v>2</v>
      </c>
      <c r="G32" s="9">
        <f t="array" ref="G32">=IF($A32="","",INDEX(编码员B!$F:$F,MATCH($A32,编码员B!$A:$A,0)))</f>
        <v>2</v>
      </c>
      <c r="H32" s="8">
        <v>2</v>
      </c>
      <c r="I32" s="9">
        <f>=IF(OR(F32="",G32=""),"",IF(F32=G32,1,0))</f>
        <v>1</v>
      </c>
      <c r="J32" s="8" t="s">
        <v>614</v>
      </c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9" t="str">
        <f>=样本清单!A33</f>
        <v>M2_P1_05</v>
      </c>
      <c r="B33" s="9" t="str">
        <f>=样本清单!B33</f>
        <v>M2</v>
      </c>
      <c r="C33" s="9" t="str">
        <f>=样本清单!C33</f>
        <v>gemini-3.1-flash-image</v>
      </c>
      <c r="D33" s="9" t="str">
        <f>=样本清单!D33</f>
        <v>P1</v>
      </c>
      <c r="E33" s="9">
        <f>=样本清单!F33</f>
        <v>5</v>
      </c>
      <c r="F33" s="9">
        <f t="array" ref="F33">=IF($A33="","",INDEX(编码员A!$F:$F,MATCH($A33,编码员A!$A:$A,0)))</f>
        <v>1</v>
      </c>
      <c r="G33" s="9">
        <f t="array" ref="G33">=IF($A33="","",INDEX(编码员B!$F:$F,MATCH($A33,编码员B!$A:$A,0)))</f>
        <v>1</v>
      </c>
      <c r="H33" s="8">
        <v>1</v>
      </c>
      <c r="I33" s="9">
        <f>=IF(OR(F33="",G33=""),"",IF(F33=G33,1,0))</f>
        <v>1</v>
      </c>
      <c r="J33" s="8" t="s">
        <v>614</v>
      </c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9" t="str">
        <f>=样本清单!A34</f>
        <v>M2_P1_06</v>
      </c>
      <c r="B34" s="9" t="str">
        <f>=样本清单!B34</f>
        <v>M2</v>
      </c>
      <c r="C34" s="9" t="str">
        <f>=样本清单!C34</f>
        <v>gemini-3.1-flash-image</v>
      </c>
      <c r="D34" s="9" t="str">
        <f>=样本清单!D34</f>
        <v>P1</v>
      </c>
      <c r="E34" s="9">
        <f>=样本清单!F34</f>
        <v>6</v>
      </c>
      <c r="F34" s="9">
        <f t="array" ref="F34">=IF($A34="","",INDEX(编码员A!$F:$F,MATCH($A34,编码员A!$A:$A,0)))</f>
        <v>1</v>
      </c>
      <c r="G34" s="9">
        <f t="array" ref="G34">=IF($A34="","",INDEX(编码员B!$F:$F,MATCH($A34,编码员B!$A:$A,0)))</f>
        <v>1</v>
      </c>
      <c r="H34" s="8">
        <v>1</v>
      </c>
      <c r="I34" s="9">
        <f>=IF(OR(F34="",G34=""),"",IF(F34=G34,1,0))</f>
        <v>1</v>
      </c>
      <c r="J34" s="8" t="s">
        <v>614</v>
      </c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9" t="str">
        <f>=样本清单!A35</f>
        <v>M2_P1_07</v>
      </c>
      <c r="B35" s="9" t="str">
        <f>=样本清单!B35</f>
        <v>M2</v>
      </c>
      <c r="C35" s="9" t="str">
        <f>=样本清单!C35</f>
        <v>gemini-3.1-flash-image</v>
      </c>
      <c r="D35" s="9" t="str">
        <f>=样本清单!D35</f>
        <v>P1</v>
      </c>
      <c r="E35" s="9">
        <f>=样本清单!F35</f>
        <v>7</v>
      </c>
      <c r="F35" s="9">
        <f t="array" ref="F35">=IF($A35="","",INDEX(编码员A!$F:$F,MATCH($A35,编码员A!$A:$A,0)))</f>
        <v>2</v>
      </c>
      <c r="G35" s="9">
        <f t="array" ref="G35">=IF($A35="","",INDEX(编码员B!$F:$F,MATCH($A35,编码员B!$A:$A,0)))</f>
        <v>1</v>
      </c>
      <c r="H35" s="8">
        <v>1.5</v>
      </c>
      <c r="I35" s="9">
        <f>=IF(OR(F35="",G35=""),"",IF(F35=G35,1,0))</f>
        <v>0</v>
      </c>
      <c r="J35" s="8" t="s">
        <v>613</v>
      </c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9" t="str">
        <f>=样本清单!A36</f>
        <v>M2_P1_08</v>
      </c>
      <c r="B36" s="9" t="str">
        <f>=样本清单!B36</f>
        <v>M2</v>
      </c>
      <c r="C36" s="9" t="str">
        <f>=样本清单!C36</f>
        <v>gemini-3.1-flash-image</v>
      </c>
      <c r="D36" s="9" t="str">
        <f>=样本清单!D36</f>
        <v>P1</v>
      </c>
      <c r="E36" s="9">
        <f>=样本清单!F36</f>
        <v>8</v>
      </c>
      <c r="F36" s="9">
        <f t="array" ref="F36">=IF($A36="","",INDEX(编码员A!$F:$F,MATCH($A36,编码员A!$A:$A,0)))</f>
        <v>2</v>
      </c>
      <c r="G36" s="9">
        <f t="array" ref="G36">=IF($A36="","",INDEX(编码员B!$F:$F,MATCH($A36,编码员B!$A:$A,0)))</f>
        <v>1</v>
      </c>
      <c r="H36" s="8">
        <v>1.5</v>
      </c>
      <c r="I36" s="9">
        <f>=IF(OR(F36="",G36=""),"",IF(F36=G36,1,0))</f>
        <v>0</v>
      </c>
      <c r="J36" s="8" t="s">
        <v>613</v>
      </c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9" t="str">
        <f>=样本清单!A37</f>
        <v>M2_P1_09</v>
      </c>
      <c r="B37" s="9" t="str">
        <f>=样本清单!B37</f>
        <v>M2</v>
      </c>
      <c r="C37" s="9" t="str">
        <f>=样本清单!C37</f>
        <v>gemini-3.1-flash-image</v>
      </c>
      <c r="D37" s="9" t="str">
        <f>=样本清单!D37</f>
        <v>P1</v>
      </c>
      <c r="E37" s="9">
        <f>=样本清单!F37</f>
        <v>9</v>
      </c>
      <c r="F37" s="9">
        <f t="array" ref="F37">=IF($A37="","",INDEX(编码员A!$F:$F,MATCH($A37,编码员A!$A:$A,0)))</f>
        <v>1</v>
      </c>
      <c r="G37" s="9">
        <f t="array" ref="G37">=IF($A37="","",INDEX(编码员B!$F:$F,MATCH($A37,编码员B!$A:$A,0)))</f>
        <v>2</v>
      </c>
      <c r="H37" s="8">
        <v>1.5</v>
      </c>
      <c r="I37" s="9">
        <f>=IF(OR(F37="",G37=""),"",IF(F37=G37,1,0))</f>
        <v>0</v>
      </c>
      <c r="J37" s="8" t="s">
        <v>613</v>
      </c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9" t="str">
        <f>=样本清单!A38</f>
        <v>M2_P2_01</v>
      </c>
      <c r="B38" s="9" t="str">
        <f>=样本清单!B38</f>
        <v>M2</v>
      </c>
      <c r="C38" s="9" t="str">
        <f>=样本清单!C38</f>
        <v>gemini-3.1-flash-image</v>
      </c>
      <c r="D38" s="9" t="str">
        <f>=样本清单!D38</f>
        <v>P2</v>
      </c>
      <c r="E38" s="9">
        <f>=样本清单!F38</f>
        <v>1</v>
      </c>
      <c r="F38" s="9">
        <f t="array" ref="F38">=IF($A38="","",INDEX(编码员A!$F:$F,MATCH($A38,编码员A!$A:$A,0)))</f>
        <v>1</v>
      </c>
      <c r="G38" s="9">
        <f t="array" ref="G38">=IF($A38="","",INDEX(编码员B!$F:$F,MATCH($A38,编码员B!$A:$A,0)))</f>
        <v>1</v>
      </c>
      <c r="H38" s="8">
        <v>1</v>
      </c>
      <c r="I38" s="9">
        <f>=IF(OR(F38="",G38=""),"",IF(F38=G38,1,0))</f>
        <v>1</v>
      </c>
      <c r="J38" s="8" t="s">
        <v>614</v>
      </c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9" t="str">
        <f>=样本清单!A39</f>
        <v>M2_P2_02</v>
      </c>
      <c r="B39" s="9" t="str">
        <f>=样本清单!B39</f>
        <v>M2</v>
      </c>
      <c r="C39" s="9" t="str">
        <f>=样本清单!C39</f>
        <v>gemini-3.1-flash-image</v>
      </c>
      <c r="D39" s="9" t="str">
        <f>=样本清单!D39</f>
        <v>P2</v>
      </c>
      <c r="E39" s="9">
        <f>=样本清单!F39</f>
        <v>2</v>
      </c>
      <c r="F39" s="9">
        <f t="array" ref="F39">=IF($A39="","",INDEX(编码员A!$F:$F,MATCH($A39,编码员A!$A:$A,0)))</f>
        <v>2</v>
      </c>
      <c r="G39" s="9">
        <f t="array" ref="G39">=IF($A39="","",INDEX(编码员B!$F:$F,MATCH($A39,编码员B!$A:$A,0)))</f>
        <v>1</v>
      </c>
      <c r="H39" s="8">
        <v>1.5</v>
      </c>
      <c r="I39" s="9">
        <f>=IF(OR(F39="",G39=""),"",IF(F39=G39,1,0))</f>
        <v>0</v>
      </c>
      <c r="J39" s="8" t="s">
        <v>613</v>
      </c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9" t="str">
        <f>=样本清单!A40</f>
        <v>M2_P2_03</v>
      </c>
      <c r="B40" s="9" t="str">
        <f>=样本清单!B40</f>
        <v>M2</v>
      </c>
      <c r="C40" s="9" t="str">
        <f>=样本清单!C40</f>
        <v>gemini-3.1-flash-image</v>
      </c>
      <c r="D40" s="9" t="str">
        <f>=样本清单!D40</f>
        <v>P2</v>
      </c>
      <c r="E40" s="9">
        <f>=样本清单!F40</f>
        <v>3</v>
      </c>
      <c r="F40" s="9">
        <f t="array" ref="F40">=IF($A40="","",INDEX(编码员A!$F:$F,MATCH($A40,编码员A!$A:$A,0)))</f>
        <v>1</v>
      </c>
      <c r="G40" s="9">
        <f t="array" ref="G40">=IF($A40="","",INDEX(编码员B!$F:$F,MATCH($A40,编码员B!$A:$A,0)))</f>
        <v>1</v>
      </c>
      <c r="H40" s="8">
        <v>1</v>
      </c>
      <c r="I40" s="9">
        <f>=IF(OR(F40="",G40=""),"",IF(F40=G40,1,0))</f>
        <v>1</v>
      </c>
      <c r="J40" s="8" t="s">
        <v>614</v>
      </c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9" t="str">
        <f>=样本清单!A41</f>
        <v>M2_P2_04</v>
      </c>
      <c r="B41" s="9" t="str">
        <f>=样本清单!B41</f>
        <v>M2</v>
      </c>
      <c r="C41" s="9" t="str">
        <f>=样本清单!C41</f>
        <v>gemini-3.1-flash-image</v>
      </c>
      <c r="D41" s="9" t="str">
        <f>=样本清单!D41</f>
        <v>P2</v>
      </c>
      <c r="E41" s="9">
        <f>=样本清单!F41</f>
        <v>4</v>
      </c>
      <c r="F41" s="9">
        <f t="array" ref="F41">=IF($A41="","",INDEX(编码员A!$F:$F,MATCH($A41,编码员A!$A:$A,0)))</f>
        <v>1</v>
      </c>
      <c r="G41" s="9">
        <f t="array" ref="G41">=IF($A41="","",INDEX(编码员B!$F:$F,MATCH($A41,编码员B!$A:$A,0)))</f>
        <v>1</v>
      </c>
      <c r="H41" s="8">
        <v>1</v>
      </c>
      <c r="I41" s="9">
        <f>=IF(OR(F41="",G41=""),"",IF(F41=G41,1,0))</f>
        <v>1</v>
      </c>
      <c r="J41" s="8" t="s">
        <v>614</v>
      </c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9" t="str">
        <f>=样本清单!A42</f>
        <v>M2_P2_05</v>
      </c>
      <c r="B42" s="9" t="str">
        <f>=样本清单!B42</f>
        <v>M2</v>
      </c>
      <c r="C42" s="9" t="str">
        <f>=样本清单!C42</f>
        <v>gemini-3.1-flash-image</v>
      </c>
      <c r="D42" s="9" t="str">
        <f>=样本清单!D42</f>
        <v>P2</v>
      </c>
      <c r="E42" s="9">
        <f>=样本清单!F42</f>
        <v>5</v>
      </c>
      <c r="F42" s="9">
        <f t="array" ref="F42">=IF($A42="","",INDEX(编码员A!$F:$F,MATCH($A42,编码员A!$A:$A,0)))</f>
        <v>2</v>
      </c>
      <c r="G42" s="9">
        <f t="array" ref="G42">=IF($A42="","",INDEX(编码员B!$F:$F,MATCH($A42,编码员B!$A:$A,0)))</f>
        <v>1</v>
      </c>
      <c r="H42" s="8">
        <v>1.5</v>
      </c>
      <c r="I42" s="9">
        <f>=IF(OR(F42="",G42=""),"",IF(F42=G42,1,0))</f>
        <v>0</v>
      </c>
      <c r="J42" s="8" t="s">
        <v>613</v>
      </c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9" t="str">
        <f>=样本清单!A43</f>
        <v>M2_P2_06</v>
      </c>
      <c r="B43" s="9" t="str">
        <f>=样本清单!B43</f>
        <v>M2</v>
      </c>
      <c r="C43" s="9" t="str">
        <f>=样本清单!C43</f>
        <v>gemini-3.1-flash-image</v>
      </c>
      <c r="D43" s="9" t="str">
        <f>=样本清单!D43</f>
        <v>P2</v>
      </c>
      <c r="E43" s="9">
        <f>=样本清单!F43</f>
        <v>6</v>
      </c>
      <c r="F43" s="9">
        <f t="array" ref="F43">=IF($A43="","",INDEX(编码员A!$F:$F,MATCH($A43,编码员A!$A:$A,0)))</f>
        <v>2</v>
      </c>
      <c r="G43" s="9">
        <f t="array" ref="G43">=IF($A43="","",INDEX(编码员B!$F:$F,MATCH($A43,编码员B!$A:$A,0)))</f>
        <v>1</v>
      </c>
      <c r="H43" s="8">
        <v>1.5</v>
      </c>
      <c r="I43" s="9">
        <f>=IF(OR(F43="",G43=""),"",IF(F43=G43,1,0))</f>
        <v>0</v>
      </c>
      <c r="J43" s="8" t="s">
        <v>613</v>
      </c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9" t="str">
        <f>=样本清单!A44</f>
        <v>M2_P2_07</v>
      </c>
      <c r="B44" s="9" t="str">
        <f>=样本清单!B44</f>
        <v>M2</v>
      </c>
      <c r="C44" s="9" t="str">
        <f>=样本清单!C44</f>
        <v>gemini-3.1-flash-image</v>
      </c>
      <c r="D44" s="9" t="str">
        <f>=样本清单!D44</f>
        <v>P2</v>
      </c>
      <c r="E44" s="9">
        <f>=样本清单!F44</f>
        <v>7</v>
      </c>
      <c r="F44" s="9">
        <f t="array" ref="F44">=IF($A44="","",INDEX(编码员A!$F:$F,MATCH($A44,编码员A!$A:$A,0)))</f>
        <v>2</v>
      </c>
      <c r="G44" s="9">
        <f t="array" ref="G44">=IF($A44="","",INDEX(编码员B!$F:$F,MATCH($A44,编码员B!$A:$A,0)))</f>
        <v>1</v>
      </c>
      <c r="H44" s="8">
        <v>1.5</v>
      </c>
      <c r="I44" s="9">
        <f>=IF(OR(F44="",G44=""),"",IF(F44=G44,1,0))</f>
        <v>0</v>
      </c>
      <c r="J44" s="8" t="s">
        <v>613</v>
      </c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9" t="str">
        <f>=样本清单!A45</f>
        <v>M2_P2_08</v>
      </c>
      <c r="B45" s="9" t="str">
        <f>=样本清单!B45</f>
        <v>M2</v>
      </c>
      <c r="C45" s="9" t="str">
        <f>=样本清单!C45</f>
        <v>gemini-3.1-flash-image</v>
      </c>
      <c r="D45" s="9" t="str">
        <f>=样本清单!D45</f>
        <v>P2</v>
      </c>
      <c r="E45" s="9">
        <f>=样本清单!F45</f>
        <v>8</v>
      </c>
      <c r="F45" s="9">
        <f t="array" ref="F45">=IF($A45="","",INDEX(编码员A!$F:$F,MATCH($A45,编码员A!$A:$A,0)))</f>
        <v>2</v>
      </c>
      <c r="G45" s="9">
        <f t="array" ref="G45">=IF($A45="","",INDEX(编码员B!$F:$F,MATCH($A45,编码员B!$A:$A,0)))</f>
        <v>1</v>
      </c>
      <c r="H45" s="8">
        <v>1.5</v>
      </c>
      <c r="I45" s="9">
        <f>=IF(OR(F45="",G45=""),"",IF(F45=G45,1,0))</f>
        <v>0</v>
      </c>
      <c r="J45" s="8" t="s">
        <v>613</v>
      </c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9" t="str">
        <f>=样本清单!A46</f>
        <v>M2_P2_09</v>
      </c>
      <c r="B46" s="9" t="str">
        <f>=样本清单!B46</f>
        <v>M2</v>
      </c>
      <c r="C46" s="9" t="str">
        <f>=样本清单!C46</f>
        <v>gemini-3.1-flash-image</v>
      </c>
      <c r="D46" s="9" t="str">
        <f>=样本清单!D46</f>
        <v>P2</v>
      </c>
      <c r="E46" s="9">
        <f>=样本清单!F46</f>
        <v>9</v>
      </c>
      <c r="F46" s="9">
        <f t="array" ref="F46">=IF($A46="","",INDEX(编码员A!$F:$F,MATCH($A46,编码员A!$A:$A,0)))</f>
        <v>2</v>
      </c>
      <c r="G46" s="9">
        <f t="array" ref="G46">=IF($A46="","",INDEX(编码员B!$F:$F,MATCH($A46,编码员B!$A:$A,0)))</f>
        <v>1</v>
      </c>
      <c r="H46" s="8">
        <v>1.5</v>
      </c>
      <c r="I46" s="9">
        <f>=IF(OR(F46="",G46=""),"",IF(F46=G46,1,0))</f>
        <v>0</v>
      </c>
      <c r="J46" s="8" t="s">
        <v>613</v>
      </c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9" t="str">
        <f>=样本清单!A47</f>
        <v>M2_P3_01</v>
      </c>
      <c r="B47" s="9" t="str">
        <f>=样本清单!B47</f>
        <v>M2</v>
      </c>
      <c r="C47" s="9" t="str">
        <f>=样本清单!C47</f>
        <v>gemini-3.1-flash-image</v>
      </c>
      <c r="D47" s="9" t="str">
        <f>=样本清单!D47</f>
        <v>P3</v>
      </c>
      <c r="E47" s="9">
        <f>=样本清单!F47</f>
        <v>1</v>
      </c>
      <c r="F47" s="9">
        <f t="array" ref="F47">=IF($A47="","",INDEX(编码员A!$F:$F,MATCH($A47,编码员A!$A:$A,0)))</f>
        <v>2</v>
      </c>
      <c r="G47" s="9">
        <f t="array" ref="G47">=IF($A47="","",INDEX(编码员B!$F:$F,MATCH($A47,编码员B!$A:$A,0)))</f>
        <v>2</v>
      </c>
      <c r="H47" s="8">
        <v>2</v>
      </c>
      <c r="I47" s="9">
        <f>=IF(OR(F47="",G47=""),"",IF(F47=G47,1,0))</f>
        <v>1</v>
      </c>
      <c r="J47" s="8" t="s">
        <v>614</v>
      </c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9" t="str">
        <f>=样本清单!A48</f>
        <v>M2_P3_02</v>
      </c>
      <c r="B48" s="9" t="str">
        <f>=样本清单!B48</f>
        <v>M2</v>
      </c>
      <c r="C48" s="9" t="str">
        <f>=样本清单!C48</f>
        <v>gemini-3.1-flash-image</v>
      </c>
      <c r="D48" s="9" t="str">
        <f>=样本清单!D48</f>
        <v>P3</v>
      </c>
      <c r="E48" s="9">
        <f>=样本清单!F48</f>
        <v>2</v>
      </c>
      <c r="F48" s="9">
        <f t="array" ref="F48">=IF($A48="","",INDEX(编码员A!$F:$F,MATCH($A48,编码员A!$A:$A,0)))</f>
        <v>2</v>
      </c>
      <c r="G48" s="9">
        <f t="array" ref="G48">=IF($A48="","",INDEX(编码员B!$F:$F,MATCH($A48,编码员B!$A:$A,0)))</f>
        <v>2</v>
      </c>
      <c r="H48" s="8">
        <v>2</v>
      </c>
      <c r="I48" s="9">
        <f>=IF(OR(F48="",G48=""),"",IF(F48=G48,1,0))</f>
        <v>1</v>
      </c>
      <c r="J48" s="8" t="s">
        <v>614</v>
      </c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9" t="str">
        <f>=样本清单!A49</f>
        <v>M2_P3_03</v>
      </c>
      <c r="B49" s="9" t="str">
        <f>=样本清单!B49</f>
        <v>M2</v>
      </c>
      <c r="C49" s="9" t="str">
        <f>=样本清单!C49</f>
        <v>gemini-3.1-flash-image</v>
      </c>
      <c r="D49" s="9" t="str">
        <f>=样本清单!D49</f>
        <v>P3</v>
      </c>
      <c r="E49" s="9">
        <f>=样本清单!F49</f>
        <v>3</v>
      </c>
      <c r="F49" s="9">
        <f t="array" ref="F49">=IF($A49="","",INDEX(编码员A!$F:$F,MATCH($A49,编码员A!$A:$A,0)))</f>
        <v>1</v>
      </c>
      <c r="G49" s="9">
        <f t="array" ref="G49">=IF($A49="","",INDEX(编码员B!$F:$F,MATCH($A49,编码员B!$A:$A,0)))</f>
        <v>1</v>
      </c>
      <c r="H49" s="8">
        <v>1</v>
      </c>
      <c r="I49" s="9">
        <f>=IF(OR(F49="",G49=""),"",IF(F49=G49,1,0))</f>
        <v>1</v>
      </c>
      <c r="J49" s="8" t="s">
        <v>614</v>
      </c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9" t="str">
        <f>=样本清单!A50</f>
        <v>M2_P3_04</v>
      </c>
      <c r="B50" s="9" t="str">
        <f>=样本清单!B50</f>
        <v>M2</v>
      </c>
      <c r="C50" s="9" t="str">
        <f>=样本清单!C50</f>
        <v>gemini-3.1-flash-image</v>
      </c>
      <c r="D50" s="9" t="str">
        <f>=样本清单!D50</f>
        <v>P3</v>
      </c>
      <c r="E50" s="9">
        <f>=样本清单!F50</f>
        <v>4</v>
      </c>
      <c r="F50" s="9">
        <f t="array" ref="F50">=IF($A50="","",INDEX(编码员A!$F:$F,MATCH($A50,编码员A!$A:$A,0)))</f>
        <v>2</v>
      </c>
      <c r="G50" s="9">
        <f t="array" ref="G50">=IF($A50="","",INDEX(编码员B!$F:$F,MATCH($A50,编码员B!$A:$A,0)))</f>
        <v>1</v>
      </c>
      <c r="H50" s="8">
        <v>1.5</v>
      </c>
      <c r="I50" s="9">
        <f>=IF(OR(F50="",G50=""),"",IF(F50=G50,1,0))</f>
        <v>0</v>
      </c>
      <c r="J50" s="8" t="s">
        <v>613</v>
      </c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9" t="str">
        <f>=样本清单!A51</f>
        <v>M2_P3_05</v>
      </c>
      <c r="B51" s="9" t="str">
        <f>=样本清单!B51</f>
        <v>M2</v>
      </c>
      <c r="C51" s="9" t="str">
        <f>=样本清单!C51</f>
        <v>gemini-3.1-flash-image</v>
      </c>
      <c r="D51" s="9" t="str">
        <f>=样本清单!D51</f>
        <v>P3</v>
      </c>
      <c r="E51" s="9">
        <f>=样本清单!F51</f>
        <v>5</v>
      </c>
      <c r="F51" s="9">
        <f t="array" ref="F51">=IF($A51="","",INDEX(编码员A!$F:$F,MATCH($A51,编码员A!$A:$A,0)))</f>
        <v>1</v>
      </c>
      <c r="G51" s="9">
        <f t="array" ref="G51">=IF($A51="","",INDEX(编码员B!$F:$F,MATCH($A51,编码员B!$A:$A,0)))</f>
        <v>1</v>
      </c>
      <c r="H51" s="8">
        <v>1</v>
      </c>
      <c r="I51" s="9">
        <f>=IF(OR(F51="",G51=""),"",IF(F51=G51,1,0))</f>
        <v>1</v>
      </c>
      <c r="J51" s="8" t="s">
        <v>614</v>
      </c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9" t="str">
        <f>=样本清单!A52</f>
        <v>M2_P3_06</v>
      </c>
      <c r="B52" s="9" t="str">
        <f>=样本清单!B52</f>
        <v>M2</v>
      </c>
      <c r="C52" s="9" t="str">
        <f>=样本清单!C52</f>
        <v>gemini-3.1-flash-image</v>
      </c>
      <c r="D52" s="9" t="str">
        <f>=样本清单!D52</f>
        <v>P3</v>
      </c>
      <c r="E52" s="9">
        <f>=样本清单!F52</f>
        <v>6</v>
      </c>
      <c r="F52" s="9">
        <f t="array" ref="F52">=IF($A52="","",INDEX(编码员A!$F:$F,MATCH($A52,编码员A!$A:$A,0)))</f>
        <v>1</v>
      </c>
      <c r="G52" s="9">
        <f t="array" ref="G52">=IF($A52="","",INDEX(编码员B!$F:$F,MATCH($A52,编码员B!$A:$A,0)))</f>
        <v>2</v>
      </c>
      <c r="H52" s="8">
        <v>1.5</v>
      </c>
      <c r="I52" s="9">
        <f>=IF(OR(F52="",G52=""),"",IF(F52=G52,1,0))</f>
        <v>0</v>
      </c>
      <c r="J52" s="8" t="s">
        <v>613</v>
      </c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9" t="str">
        <f>=样本清单!A53</f>
        <v>M2_P3_07</v>
      </c>
      <c r="B53" s="9" t="str">
        <f>=样本清单!B53</f>
        <v>M2</v>
      </c>
      <c r="C53" s="9" t="str">
        <f>=样本清单!C53</f>
        <v>gemini-3.1-flash-image</v>
      </c>
      <c r="D53" s="9" t="str">
        <f>=样本清单!D53</f>
        <v>P3</v>
      </c>
      <c r="E53" s="9">
        <f>=样本清单!F53</f>
        <v>7</v>
      </c>
      <c r="F53" s="9">
        <f t="array" ref="F53">=IF($A53="","",INDEX(编码员A!$F:$F,MATCH($A53,编码员A!$A:$A,0)))</f>
        <v>1</v>
      </c>
      <c r="G53" s="9">
        <f t="array" ref="G53">=IF($A53="","",INDEX(编码员B!$F:$F,MATCH($A53,编码员B!$A:$A,0)))</f>
        <v>1</v>
      </c>
      <c r="H53" s="8">
        <v>1</v>
      </c>
      <c r="I53" s="9">
        <f>=IF(OR(F53="",G53=""),"",IF(F53=G53,1,0))</f>
        <v>1</v>
      </c>
      <c r="J53" s="8" t="s">
        <v>614</v>
      </c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9" t="str">
        <f>=样本清单!A54</f>
        <v>M2_P3_08</v>
      </c>
      <c r="B54" s="9" t="str">
        <f>=样本清单!B54</f>
        <v>M2</v>
      </c>
      <c r="C54" s="9" t="str">
        <f>=样本清单!C54</f>
        <v>gemini-3.1-flash-image</v>
      </c>
      <c r="D54" s="9" t="str">
        <f>=样本清单!D54</f>
        <v>P3</v>
      </c>
      <c r="E54" s="9">
        <f>=样本清单!F54</f>
        <v>8</v>
      </c>
      <c r="F54" s="9">
        <f t="array" ref="F54">=IF($A54="","",INDEX(编码员A!$F:$F,MATCH($A54,编码员A!$A:$A,0)))</f>
        <v>2</v>
      </c>
      <c r="G54" s="9">
        <f t="array" ref="G54">=IF($A54="","",INDEX(编码员B!$F:$F,MATCH($A54,编码员B!$A:$A,0)))</f>
        <v>1</v>
      </c>
      <c r="H54" s="8">
        <v>1.5</v>
      </c>
      <c r="I54" s="9">
        <f>=IF(OR(F54="",G54=""),"",IF(F54=G54,1,0))</f>
        <v>0</v>
      </c>
      <c r="J54" s="8" t="s">
        <v>613</v>
      </c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9" t="str">
        <f>=样本清单!A55</f>
        <v>M2_P3_09</v>
      </c>
      <c r="B55" s="9" t="str">
        <f>=样本清单!B55</f>
        <v>M2</v>
      </c>
      <c r="C55" s="9" t="str">
        <f>=样本清单!C55</f>
        <v>gemini-3.1-flash-image</v>
      </c>
      <c r="D55" s="9" t="str">
        <f>=样本清单!D55</f>
        <v>P3</v>
      </c>
      <c r="E55" s="9">
        <f>=样本清单!F55</f>
        <v>9</v>
      </c>
      <c r="F55" s="9">
        <f t="array" ref="F55">=IF($A55="","",INDEX(编码员A!$F:$F,MATCH($A55,编码员A!$A:$A,0)))</f>
        <v>1</v>
      </c>
      <c r="G55" s="9">
        <f t="array" ref="G55">=IF($A55="","",INDEX(编码员B!$F:$F,MATCH($A55,编码员B!$A:$A,0)))</f>
        <v>1</v>
      </c>
      <c r="H55" s="8">
        <v>1</v>
      </c>
      <c r="I55" s="9">
        <f>=IF(OR(F55="",G55=""),"",IF(F55=G55,1,0))</f>
        <v>1</v>
      </c>
      <c r="J55" s="8" t="s">
        <v>614</v>
      </c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9" t="str">
        <f>=样本清单!A56</f>
        <v>M3_P1_01</v>
      </c>
      <c r="B56" s="9" t="str">
        <f>=样本清单!B56</f>
        <v>M3</v>
      </c>
      <c r="C56" s="9" t="str">
        <f>=样本清单!C56</f>
        <v>MAI-Image-2.5-Pro</v>
      </c>
      <c r="D56" s="9" t="str">
        <f>=样本清单!D56</f>
        <v>P1</v>
      </c>
      <c r="E56" s="9">
        <f>=样本清单!F56</f>
        <v>1</v>
      </c>
      <c r="F56" s="9">
        <f t="array" ref="F56">=IF($A56="","",INDEX(编码员A!$F:$F,MATCH($A56,编码员A!$A:$A,0)))</f>
        <v>2</v>
      </c>
      <c r="G56" s="9">
        <f t="array" ref="G56">=IF($A56="","",INDEX(编码员B!$F:$F,MATCH($A56,编码员B!$A:$A,0)))</f>
        <v>2</v>
      </c>
      <c r="H56" s="8">
        <v>2</v>
      </c>
      <c r="I56" s="9">
        <f>=IF(OR(F56="",G56=""),"",IF(F56=G56,1,0))</f>
        <v>1</v>
      </c>
      <c r="J56" s="8" t="s">
        <v>614</v>
      </c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9" t="str">
        <f>=样本清单!A57</f>
        <v>M3_P1_02</v>
      </c>
      <c r="B57" s="9" t="str">
        <f>=样本清单!B57</f>
        <v>M3</v>
      </c>
      <c r="C57" s="9" t="str">
        <f>=样本清单!C57</f>
        <v>MAI-Image-2.5-Pro</v>
      </c>
      <c r="D57" s="9" t="str">
        <f>=样本清单!D57</f>
        <v>P1</v>
      </c>
      <c r="E57" s="9">
        <f>=样本清单!F57</f>
        <v>2</v>
      </c>
      <c r="F57" s="9">
        <f t="array" ref="F57">=IF($A57="","",INDEX(编码员A!$F:$F,MATCH($A57,编码员A!$A:$A,0)))</f>
        <v>2</v>
      </c>
      <c r="G57" s="9">
        <f t="array" ref="G57">=IF($A57="","",INDEX(编码员B!$F:$F,MATCH($A57,编码员B!$A:$A,0)))</f>
        <v>2</v>
      </c>
      <c r="H57" s="8">
        <v>2</v>
      </c>
      <c r="I57" s="9">
        <f>=IF(OR(F57="",G57=""),"",IF(F57=G57,1,0))</f>
        <v>1</v>
      </c>
      <c r="J57" s="8" t="s">
        <v>614</v>
      </c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9" t="str">
        <f>=样本清单!A58</f>
        <v>M3_P1_03</v>
      </c>
      <c r="B58" s="9" t="str">
        <f>=样本清单!B58</f>
        <v>M3</v>
      </c>
      <c r="C58" s="9" t="str">
        <f>=样本清单!C58</f>
        <v>MAI-Image-2.5-Pro</v>
      </c>
      <c r="D58" s="9" t="str">
        <f>=样本清单!D58</f>
        <v>P1</v>
      </c>
      <c r="E58" s="9">
        <f>=样本清单!F58</f>
        <v>3</v>
      </c>
      <c r="F58" s="9">
        <f t="array" ref="F58">=IF($A58="","",INDEX(编码员A!$F:$F,MATCH($A58,编码员A!$A:$A,0)))</f>
        <v>1</v>
      </c>
      <c r="G58" s="9">
        <f t="array" ref="G58">=IF($A58="","",INDEX(编码员B!$F:$F,MATCH($A58,编码员B!$A:$A,0)))</f>
        <v>2</v>
      </c>
      <c r="H58" s="8">
        <v>1.5</v>
      </c>
      <c r="I58" s="9">
        <f>=IF(OR(F58="",G58=""),"",IF(F58=G58,1,0))</f>
        <v>0</v>
      </c>
      <c r="J58" s="8" t="s">
        <v>613</v>
      </c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9" t="str">
        <f>=样本清单!A59</f>
        <v>M3_P1_04</v>
      </c>
      <c r="B59" s="9" t="str">
        <f>=样本清单!B59</f>
        <v>M3</v>
      </c>
      <c r="C59" s="9" t="str">
        <f>=样本清单!C59</f>
        <v>MAI-Image-2.5-Pro</v>
      </c>
      <c r="D59" s="9" t="str">
        <f>=样本清单!D59</f>
        <v>P1</v>
      </c>
      <c r="E59" s="9">
        <f>=样本清单!F59</f>
        <v>4</v>
      </c>
      <c r="F59" s="9">
        <f t="array" ref="F59">=IF($A59="","",INDEX(编码员A!$F:$F,MATCH($A59,编码员A!$A:$A,0)))</f>
        <v>1</v>
      </c>
      <c r="G59" s="9">
        <f t="array" ref="G59">=IF($A59="","",INDEX(编码员B!$F:$F,MATCH($A59,编码员B!$A:$A,0)))</f>
        <v>2</v>
      </c>
      <c r="H59" s="8">
        <v>1.5</v>
      </c>
      <c r="I59" s="9">
        <f>=IF(OR(F59="",G59=""),"",IF(F59=G59,1,0))</f>
        <v>0</v>
      </c>
      <c r="J59" s="8" t="s">
        <v>613</v>
      </c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9" t="str">
        <f>=样本清单!A60</f>
        <v>M3_P1_05</v>
      </c>
      <c r="B60" s="9" t="str">
        <f>=样本清单!B60</f>
        <v>M3</v>
      </c>
      <c r="C60" s="9" t="str">
        <f>=样本清单!C60</f>
        <v>MAI-Image-2.5-Pro</v>
      </c>
      <c r="D60" s="9" t="str">
        <f>=样本清单!D60</f>
        <v>P1</v>
      </c>
      <c r="E60" s="9">
        <f>=样本清单!F60</f>
        <v>5</v>
      </c>
      <c r="F60" s="9">
        <f t="array" ref="F60">=IF($A60="","",INDEX(编码员A!$F:$F,MATCH($A60,编码员A!$A:$A,0)))</f>
        <v>2</v>
      </c>
      <c r="G60" s="9">
        <f t="array" ref="G60">=IF($A60="","",INDEX(编码员B!$F:$F,MATCH($A60,编码员B!$A:$A,0)))</f>
        <v>2</v>
      </c>
      <c r="H60" s="8">
        <v>2</v>
      </c>
      <c r="I60" s="9">
        <f>=IF(OR(F60="",G60=""),"",IF(F60=G60,1,0))</f>
        <v>1</v>
      </c>
      <c r="J60" s="8" t="s">
        <v>614</v>
      </c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9" t="str">
        <f>=样本清单!A61</f>
        <v>M3_P1_06</v>
      </c>
      <c r="B61" s="9" t="str">
        <f>=样本清单!B61</f>
        <v>M3</v>
      </c>
      <c r="C61" s="9" t="str">
        <f>=样本清单!C61</f>
        <v>MAI-Image-2.5-Pro</v>
      </c>
      <c r="D61" s="9" t="str">
        <f>=样本清单!D61</f>
        <v>P1</v>
      </c>
      <c r="E61" s="9">
        <f>=样本清单!F61</f>
        <v>6</v>
      </c>
      <c r="F61" s="9">
        <f t="array" ref="F61">=IF($A61="","",INDEX(编码员A!$F:$F,MATCH($A61,编码员A!$A:$A,0)))</f>
        <v>2</v>
      </c>
      <c r="G61" s="9">
        <f t="array" ref="G61">=IF($A61="","",INDEX(编码员B!$F:$F,MATCH($A61,编码员B!$A:$A,0)))</f>
        <v>2</v>
      </c>
      <c r="H61" s="8">
        <v>2</v>
      </c>
      <c r="I61" s="9">
        <f>=IF(OR(F61="",G61=""),"",IF(F61=G61,1,0))</f>
        <v>1</v>
      </c>
      <c r="J61" s="8" t="s">
        <v>614</v>
      </c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9" t="str">
        <f>=样本清单!A62</f>
        <v>M3_P1_07</v>
      </c>
      <c r="B62" s="9" t="str">
        <f>=样本清单!B62</f>
        <v>M3</v>
      </c>
      <c r="C62" s="9" t="str">
        <f>=样本清单!C62</f>
        <v>MAI-Image-2.5-Pro</v>
      </c>
      <c r="D62" s="9" t="str">
        <f>=样本清单!D62</f>
        <v>P1</v>
      </c>
      <c r="E62" s="9">
        <f>=样本清单!F62</f>
        <v>7</v>
      </c>
      <c r="F62" s="9">
        <f t="array" ref="F62">=IF($A62="","",INDEX(编码员A!$F:$F,MATCH($A62,编码员A!$A:$A,0)))</f>
        <v>2</v>
      </c>
      <c r="G62" s="9">
        <f t="array" ref="G62">=IF($A62="","",INDEX(编码员B!$F:$F,MATCH($A62,编码员B!$A:$A,0)))</f>
        <v>2</v>
      </c>
      <c r="H62" s="8">
        <v>2</v>
      </c>
      <c r="I62" s="9">
        <f>=IF(OR(F62="",G62=""),"",IF(F62=G62,1,0))</f>
        <v>1</v>
      </c>
      <c r="J62" s="8" t="s">
        <v>614</v>
      </c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9" t="str">
        <f>=样本清单!A63</f>
        <v>M3_P1_08</v>
      </c>
      <c r="B63" s="9" t="str">
        <f>=样本清单!B63</f>
        <v>M3</v>
      </c>
      <c r="C63" s="9" t="str">
        <f>=样本清单!C63</f>
        <v>MAI-Image-2.5-Pro</v>
      </c>
      <c r="D63" s="9" t="str">
        <f>=样本清单!D63</f>
        <v>P1</v>
      </c>
      <c r="E63" s="9">
        <f>=样本清单!F63</f>
        <v>8</v>
      </c>
      <c r="F63" s="9">
        <f t="array" ref="F63">=IF($A63="","",INDEX(编码员A!$F:$F,MATCH($A63,编码员A!$A:$A,0)))</f>
        <v>1</v>
      </c>
      <c r="G63" s="9">
        <f t="array" ref="G63">=IF($A63="","",INDEX(编码员B!$F:$F,MATCH($A63,编码员B!$A:$A,0)))</f>
        <v>2</v>
      </c>
      <c r="H63" s="8">
        <v>1.5</v>
      </c>
      <c r="I63" s="9">
        <f>=IF(OR(F63="",G63=""),"",IF(F63=G63,1,0))</f>
        <v>0</v>
      </c>
      <c r="J63" s="8" t="s">
        <v>613</v>
      </c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9" t="str">
        <f>=样本清单!A64</f>
        <v>M3_P1_09</v>
      </c>
      <c r="B64" s="9" t="str">
        <f>=样本清单!B64</f>
        <v>M3</v>
      </c>
      <c r="C64" s="9" t="str">
        <f>=样本清单!C64</f>
        <v>MAI-Image-2.5-Pro</v>
      </c>
      <c r="D64" s="9" t="str">
        <f>=样本清单!D64</f>
        <v>P1</v>
      </c>
      <c r="E64" s="9">
        <f>=样本清单!F64</f>
        <v>9</v>
      </c>
      <c r="F64" s="9">
        <f t="array" ref="F64">=IF($A64="","",INDEX(编码员A!$F:$F,MATCH($A64,编码员A!$A:$A,0)))</f>
        <v>1</v>
      </c>
      <c r="G64" s="9">
        <f t="array" ref="G64">=IF($A64="","",INDEX(编码员B!$F:$F,MATCH($A64,编码员B!$A:$A,0)))</f>
        <v>2</v>
      </c>
      <c r="H64" s="8">
        <v>1.5</v>
      </c>
      <c r="I64" s="9">
        <f>=IF(OR(F64="",G64=""),"",IF(F64=G64,1,0))</f>
        <v>0</v>
      </c>
      <c r="J64" s="8" t="s">
        <v>613</v>
      </c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9" t="str">
        <f>=样本清单!A65</f>
        <v>M3_P2_01</v>
      </c>
      <c r="B65" s="9" t="str">
        <f>=样本清单!B65</f>
        <v>M3</v>
      </c>
      <c r="C65" s="9" t="str">
        <f>=样本清单!C65</f>
        <v>MAI-Image-2.5-Pro</v>
      </c>
      <c r="D65" s="9" t="str">
        <f>=样本清单!D65</f>
        <v>P2</v>
      </c>
      <c r="E65" s="9">
        <f>=样本清单!F65</f>
        <v>1</v>
      </c>
      <c r="F65" s="9">
        <f t="array" ref="F65">=IF($A65="","",INDEX(编码员A!$F:$F,MATCH($A65,编码员A!$A:$A,0)))</f>
        <v>2</v>
      </c>
      <c r="G65" s="9">
        <f t="array" ref="G65">=IF($A65="","",INDEX(编码员B!$F:$F,MATCH($A65,编码员B!$A:$A,0)))</f>
        <v>1</v>
      </c>
      <c r="H65" s="8">
        <v>1.5</v>
      </c>
      <c r="I65" s="9">
        <f>=IF(OR(F65="",G65=""),"",IF(F65=G65,1,0))</f>
        <v>0</v>
      </c>
      <c r="J65" s="8" t="s">
        <v>613</v>
      </c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9" t="str">
        <f>=样本清单!A66</f>
        <v>M3_P2_02</v>
      </c>
      <c r="B66" s="9" t="str">
        <f>=样本清单!B66</f>
        <v>M3</v>
      </c>
      <c r="C66" s="9" t="str">
        <f>=样本清单!C66</f>
        <v>MAI-Image-2.5-Pro</v>
      </c>
      <c r="D66" s="9" t="str">
        <f>=样本清单!D66</f>
        <v>P2</v>
      </c>
      <c r="E66" s="9">
        <f>=样本清单!F66</f>
        <v>2</v>
      </c>
      <c r="F66" s="9">
        <f t="array" ref="F66">=IF($A66="","",INDEX(编码员A!$F:$F,MATCH($A66,编码员A!$A:$A,0)))</f>
        <v>2</v>
      </c>
      <c r="G66" s="9">
        <f t="array" ref="G66">=IF($A66="","",INDEX(编码员B!$F:$F,MATCH($A66,编码员B!$A:$A,0)))</f>
        <v>2</v>
      </c>
      <c r="H66" s="8">
        <v>2</v>
      </c>
      <c r="I66" s="9">
        <f>=IF(OR(F66="",G66=""),"",IF(F66=G66,1,0))</f>
        <v>1</v>
      </c>
      <c r="J66" s="8" t="s">
        <v>614</v>
      </c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9" t="str">
        <f>=样本清单!A67</f>
        <v>M3_P2_03</v>
      </c>
      <c r="B67" s="9" t="str">
        <f>=样本清单!B67</f>
        <v>M3</v>
      </c>
      <c r="C67" s="9" t="str">
        <f>=样本清单!C67</f>
        <v>MAI-Image-2.5-Pro</v>
      </c>
      <c r="D67" s="9" t="str">
        <f>=样本清单!D67</f>
        <v>P2</v>
      </c>
      <c r="E67" s="9">
        <f>=样本清单!F67</f>
        <v>3</v>
      </c>
      <c r="F67" s="9">
        <f t="array" ref="F67">=IF($A67="","",INDEX(编码员A!$F:$F,MATCH($A67,编码员A!$A:$A,0)))</f>
        <v>2</v>
      </c>
      <c r="G67" s="9">
        <f t="array" ref="G67">=IF($A67="","",INDEX(编码员B!$F:$F,MATCH($A67,编码员B!$A:$A,0)))</f>
        <v>2</v>
      </c>
      <c r="H67" s="8">
        <v>2</v>
      </c>
      <c r="I67" s="9">
        <f>=IF(OR(F67="",G67=""),"",IF(F67=G67,1,0))</f>
        <v>1</v>
      </c>
      <c r="J67" s="8" t="s">
        <v>614</v>
      </c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9" t="str">
        <f>=样本清单!A68</f>
        <v>M3_P2_04</v>
      </c>
      <c r="B68" s="9" t="str">
        <f>=样本清单!B68</f>
        <v>M3</v>
      </c>
      <c r="C68" s="9" t="str">
        <f>=样本清单!C68</f>
        <v>MAI-Image-2.5-Pro</v>
      </c>
      <c r="D68" s="9" t="str">
        <f>=样本清单!D68</f>
        <v>P2</v>
      </c>
      <c r="E68" s="9">
        <f>=样本清单!F68</f>
        <v>4</v>
      </c>
      <c r="F68" s="9">
        <f t="array" ref="F68">=IF($A68="","",INDEX(编码员A!$F:$F,MATCH($A68,编码员A!$A:$A,0)))</f>
        <v>1</v>
      </c>
      <c r="G68" s="9">
        <f t="array" ref="G68">=IF($A68="","",INDEX(编码员B!$F:$F,MATCH($A68,编码员B!$A:$A,0)))</f>
        <v>2</v>
      </c>
      <c r="H68" s="8">
        <v>1.5</v>
      </c>
      <c r="I68" s="9">
        <f>=IF(OR(F68="",G68=""),"",IF(F68=G68,1,0))</f>
        <v>0</v>
      </c>
      <c r="J68" s="8" t="s">
        <v>613</v>
      </c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9" t="str">
        <f>=样本清单!A69</f>
        <v>M3_P2_05</v>
      </c>
      <c r="B69" s="9" t="str">
        <f>=样本清单!B69</f>
        <v>M3</v>
      </c>
      <c r="C69" s="9" t="str">
        <f>=样本清单!C69</f>
        <v>MAI-Image-2.5-Pro</v>
      </c>
      <c r="D69" s="9" t="str">
        <f>=样本清单!D69</f>
        <v>P2</v>
      </c>
      <c r="E69" s="9">
        <f>=样本清单!F69</f>
        <v>5</v>
      </c>
      <c r="F69" s="9">
        <f t="array" ref="F69">=IF($A69="","",INDEX(编码员A!$F:$F,MATCH($A69,编码员A!$A:$A,0)))</f>
        <v>2</v>
      </c>
      <c r="G69" s="9">
        <f t="array" ref="G69">=IF($A69="","",INDEX(编码员B!$F:$F,MATCH($A69,编码员B!$A:$A,0)))</f>
        <v>2</v>
      </c>
      <c r="H69" s="8">
        <v>2</v>
      </c>
      <c r="I69" s="9">
        <f>=IF(OR(F69="",G69=""),"",IF(F69=G69,1,0))</f>
        <v>1</v>
      </c>
      <c r="J69" s="8" t="s">
        <v>614</v>
      </c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9" t="str">
        <f>=样本清单!A70</f>
        <v>M3_P2_06</v>
      </c>
      <c r="B70" s="9" t="str">
        <f>=样本清单!B70</f>
        <v>M3</v>
      </c>
      <c r="C70" s="9" t="str">
        <f>=样本清单!C70</f>
        <v>MAI-Image-2.5-Pro</v>
      </c>
      <c r="D70" s="9" t="str">
        <f>=样本清单!D70</f>
        <v>P2</v>
      </c>
      <c r="E70" s="9">
        <f>=样本清单!F70</f>
        <v>6</v>
      </c>
      <c r="F70" s="9">
        <f t="array" ref="F70">=IF($A70="","",INDEX(编码员A!$F:$F,MATCH($A70,编码员A!$A:$A,0)))</f>
        <v>2</v>
      </c>
      <c r="G70" s="9">
        <f t="array" ref="G70">=IF($A70="","",INDEX(编码员B!$F:$F,MATCH($A70,编码员B!$A:$A,0)))</f>
        <v>2</v>
      </c>
      <c r="H70" s="8">
        <v>2</v>
      </c>
      <c r="I70" s="9">
        <f>=IF(OR(F70="",G70=""),"",IF(F70=G70,1,0))</f>
        <v>1</v>
      </c>
      <c r="J70" s="8" t="s">
        <v>614</v>
      </c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9" t="str">
        <f>=样本清单!A71</f>
        <v>M3_P2_07</v>
      </c>
      <c r="B71" s="9" t="str">
        <f>=样本清单!B71</f>
        <v>M3</v>
      </c>
      <c r="C71" s="9" t="str">
        <f>=样本清单!C71</f>
        <v>MAI-Image-2.5-Pro</v>
      </c>
      <c r="D71" s="9" t="str">
        <f>=样本清单!D71</f>
        <v>P2</v>
      </c>
      <c r="E71" s="9">
        <f>=样本清单!F71</f>
        <v>7</v>
      </c>
      <c r="F71" s="9">
        <f t="array" ref="F71">=IF($A71="","",INDEX(编码员A!$F:$F,MATCH($A71,编码员A!$A:$A,0)))</f>
        <v>2</v>
      </c>
      <c r="G71" s="9">
        <f t="array" ref="G71">=IF($A71="","",INDEX(编码员B!$F:$F,MATCH($A71,编码员B!$A:$A,0)))</f>
        <v>2</v>
      </c>
      <c r="H71" s="8">
        <v>2</v>
      </c>
      <c r="I71" s="9">
        <f>=IF(OR(F71="",G71=""),"",IF(F71=G71,1,0))</f>
        <v>1</v>
      </c>
      <c r="J71" s="8" t="s">
        <v>614</v>
      </c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9" t="str">
        <f>=样本清单!A72</f>
        <v>M3_P2_08</v>
      </c>
      <c r="B72" s="9" t="str">
        <f>=样本清单!B72</f>
        <v>M3</v>
      </c>
      <c r="C72" s="9" t="str">
        <f>=样本清单!C72</f>
        <v>MAI-Image-2.5-Pro</v>
      </c>
      <c r="D72" s="9" t="str">
        <f>=样本清单!D72</f>
        <v>P2</v>
      </c>
      <c r="E72" s="9">
        <f>=样本清单!F72</f>
        <v>8</v>
      </c>
      <c r="F72" s="9">
        <f t="array" ref="F72">=IF($A72="","",INDEX(编码员A!$F:$F,MATCH($A72,编码员A!$A:$A,0)))</f>
        <v>1</v>
      </c>
      <c r="G72" s="9">
        <f t="array" ref="G72">=IF($A72="","",INDEX(编码员B!$F:$F,MATCH($A72,编码员B!$A:$A,0)))</f>
        <v>2</v>
      </c>
      <c r="H72" s="8">
        <v>1.5</v>
      </c>
      <c r="I72" s="9">
        <f>=IF(OR(F72="",G72=""),"",IF(F72=G72,1,0))</f>
        <v>0</v>
      </c>
      <c r="J72" s="8" t="s">
        <v>613</v>
      </c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9" t="str">
        <f>=样本清单!A73</f>
        <v>M3_P2_09</v>
      </c>
      <c r="B73" s="9" t="str">
        <f>=样本清单!B73</f>
        <v>M3</v>
      </c>
      <c r="C73" s="9" t="str">
        <f>=样本清单!C73</f>
        <v>MAI-Image-2.5-Pro</v>
      </c>
      <c r="D73" s="9" t="str">
        <f>=样本清单!D73</f>
        <v>P2</v>
      </c>
      <c r="E73" s="9">
        <f>=样本清单!F73</f>
        <v>9</v>
      </c>
      <c r="F73" s="9">
        <f t="array" ref="F73">=IF($A73="","",INDEX(编码员A!$F:$F,MATCH($A73,编码员A!$A:$A,0)))</f>
        <v>2</v>
      </c>
      <c r="G73" s="9">
        <f t="array" ref="G73">=IF($A73="","",INDEX(编码员B!$F:$F,MATCH($A73,编码员B!$A:$A,0)))</f>
        <v>2</v>
      </c>
      <c r="H73" s="8">
        <v>2</v>
      </c>
      <c r="I73" s="9">
        <f>=IF(OR(F73="",G73=""),"",IF(F73=G73,1,0))</f>
        <v>1</v>
      </c>
      <c r="J73" s="8" t="s">
        <v>614</v>
      </c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9" t="str">
        <f>=样本清单!A74</f>
        <v>M3_P3_01</v>
      </c>
      <c r="B74" s="9" t="str">
        <f>=样本清单!B74</f>
        <v>M3</v>
      </c>
      <c r="C74" s="9" t="str">
        <f>=样本清单!C74</f>
        <v>MAI-Image-2.5-Pro</v>
      </c>
      <c r="D74" s="9" t="str">
        <f>=样本清单!D74</f>
        <v>P3</v>
      </c>
      <c r="E74" s="9">
        <f>=样本清单!F74</f>
        <v>1</v>
      </c>
      <c r="F74" s="9">
        <f t="array" ref="F74">=IF($A74="","",INDEX(编码员A!$F:$F,MATCH($A74,编码员A!$A:$A,0)))</f>
        <v>2</v>
      </c>
      <c r="G74" s="9">
        <f t="array" ref="G74">=IF($A74="","",INDEX(编码员B!$F:$F,MATCH($A74,编码员B!$A:$A,0)))</f>
        <v>2</v>
      </c>
      <c r="H74" s="8">
        <v>2</v>
      </c>
      <c r="I74" s="9">
        <f>=IF(OR(F74="",G74=""),"",IF(F74=G74,1,0))</f>
        <v>1</v>
      </c>
      <c r="J74" s="8" t="s">
        <v>614</v>
      </c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9" t="str">
        <f>=样本清单!A75</f>
        <v>M3_P3_02</v>
      </c>
      <c r="B75" s="9" t="str">
        <f>=样本清单!B75</f>
        <v>M3</v>
      </c>
      <c r="C75" s="9" t="str">
        <f>=样本清单!C75</f>
        <v>MAI-Image-2.5-Pro</v>
      </c>
      <c r="D75" s="9" t="str">
        <f>=样本清单!D75</f>
        <v>P3</v>
      </c>
      <c r="E75" s="9">
        <f>=样本清单!F75</f>
        <v>2</v>
      </c>
      <c r="F75" s="9">
        <f t="array" ref="F75">=IF($A75="","",INDEX(编码员A!$F:$F,MATCH($A75,编码员A!$A:$A,0)))</f>
        <v>2</v>
      </c>
      <c r="G75" s="9">
        <f t="array" ref="G75">=IF($A75="","",INDEX(编码员B!$F:$F,MATCH($A75,编码员B!$A:$A,0)))</f>
        <v>2</v>
      </c>
      <c r="H75" s="8">
        <v>2</v>
      </c>
      <c r="I75" s="9">
        <f>=IF(OR(F75="",G75=""),"",IF(F75=G75,1,0))</f>
        <v>1</v>
      </c>
      <c r="J75" s="8" t="s">
        <v>614</v>
      </c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9" t="str">
        <f>=样本清单!A76</f>
        <v>M3_P3_03</v>
      </c>
      <c r="B76" s="9" t="str">
        <f>=样本清单!B76</f>
        <v>M3</v>
      </c>
      <c r="C76" s="9" t="str">
        <f>=样本清单!C76</f>
        <v>MAI-Image-2.5-Pro</v>
      </c>
      <c r="D76" s="9" t="str">
        <f>=样本清单!D76</f>
        <v>P3</v>
      </c>
      <c r="E76" s="9">
        <f>=样本清单!F76</f>
        <v>3</v>
      </c>
      <c r="F76" s="9">
        <f t="array" ref="F76">=IF($A76="","",INDEX(编码员A!$F:$F,MATCH($A76,编码员A!$A:$A,0)))</f>
        <v>2</v>
      </c>
      <c r="G76" s="9">
        <f t="array" ref="G76">=IF($A76="","",INDEX(编码员B!$F:$F,MATCH($A76,编码员B!$A:$A,0)))</f>
        <v>2</v>
      </c>
      <c r="H76" s="8">
        <v>2</v>
      </c>
      <c r="I76" s="9">
        <f>=IF(OR(F76="",G76=""),"",IF(F76=G76,1,0))</f>
        <v>1</v>
      </c>
      <c r="J76" s="8" t="s">
        <v>614</v>
      </c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9" t="str">
        <f>=样本清单!A77</f>
        <v>M3_P3_04</v>
      </c>
      <c r="B77" s="9" t="str">
        <f>=样本清单!B77</f>
        <v>M3</v>
      </c>
      <c r="C77" s="9" t="str">
        <f>=样本清单!C77</f>
        <v>MAI-Image-2.5-Pro</v>
      </c>
      <c r="D77" s="9" t="str">
        <f>=样本清单!D77</f>
        <v>P3</v>
      </c>
      <c r="E77" s="9">
        <f>=样本清单!F77</f>
        <v>4</v>
      </c>
      <c r="F77" s="9">
        <f t="array" ref="F77">=IF($A77="","",INDEX(编码员A!$F:$F,MATCH($A77,编码员A!$A:$A,0)))</f>
        <v>2</v>
      </c>
      <c r="G77" s="9">
        <f t="array" ref="G77">=IF($A77="","",INDEX(编码员B!$F:$F,MATCH($A77,编码员B!$A:$A,0)))</f>
        <v>2</v>
      </c>
      <c r="H77" s="8">
        <v>2</v>
      </c>
      <c r="I77" s="9">
        <f>=IF(OR(F77="",G77=""),"",IF(F77=G77,1,0))</f>
        <v>1</v>
      </c>
      <c r="J77" s="8" t="s">
        <v>614</v>
      </c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9" t="str">
        <f>=样本清单!A78</f>
        <v>M3_P3_05</v>
      </c>
      <c r="B78" s="9" t="str">
        <f>=样本清单!B78</f>
        <v>M3</v>
      </c>
      <c r="C78" s="9" t="str">
        <f>=样本清单!C78</f>
        <v>MAI-Image-2.5-Pro</v>
      </c>
      <c r="D78" s="9" t="str">
        <f>=样本清单!D78</f>
        <v>P3</v>
      </c>
      <c r="E78" s="9">
        <f>=样本清单!F78</f>
        <v>5</v>
      </c>
      <c r="F78" s="9">
        <f t="array" ref="F78">=IF($A78="","",INDEX(编码员A!$F:$F,MATCH($A78,编码员A!$A:$A,0)))</f>
        <v>2</v>
      </c>
      <c r="G78" s="9">
        <f t="array" ref="G78">=IF($A78="","",INDEX(编码员B!$F:$F,MATCH($A78,编码员B!$A:$A,0)))</f>
        <v>2</v>
      </c>
      <c r="H78" s="8">
        <v>2</v>
      </c>
      <c r="I78" s="9">
        <f>=IF(OR(F78="",G78=""),"",IF(F78=G78,1,0))</f>
        <v>1</v>
      </c>
      <c r="J78" s="8" t="s">
        <v>614</v>
      </c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9" t="str">
        <f>=样本清单!A79</f>
        <v>M3_P3_06</v>
      </c>
      <c r="B79" s="9" t="str">
        <f>=样本清单!B79</f>
        <v>M3</v>
      </c>
      <c r="C79" s="9" t="str">
        <f>=样本清单!C79</f>
        <v>MAI-Image-2.5-Pro</v>
      </c>
      <c r="D79" s="9" t="str">
        <f>=样本清单!D79</f>
        <v>P3</v>
      </c>
      <c r="E79" s="9">
        <f>=样本清单!F79</f>
        <v>6</v>
      </c>
      <c r="F79" s="9">
        <f t="array" ref="F79">=IF($A79="","",INDEX(编码员A!$F:$F,MATCH($A79,编码员A!$A:$A,0)))</f>
        <v>2</v>
      </c>
      <c r="G79" s="9">
        <f t="array" ref="G79">=IF($A79="","",INDEX(编码员B!$F:$F,MATCH($A79,编码员B!$A:$A,0)))</f>
        <v>2</v>
      </c>
      <c r="H79" s="8">
        <v>2</v>
      </c>
      <c r="I79" s="9">
        <f>=IF(OR(F79="",G79=""),"",IF(F79=G79,1,0))</f>
        <v>1</v>
      </c>
      <c r="J79" s="8" t="s">
        <v>614</v>
      </c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9" t="str">
        <f>=样本清单!A80</f>
        <v>M3_P3_07</v>
      </c>
      <c r="B80" s="9" t="str">
        <f>=样本清单!B80</f>
        <v>M3</v>
      </c>
      <c r="C80" s="9" t="str">
        <f>=样本清单!C80</f>
        <v>MAI-Image-2.5-Pro</v>
      </c>
      <c r="D80" s="9" t="str">
        <f>=样本清单!D80</f>
        <v>P3</v>
      </c>
      <c r="E80" s="9">
        <f>=样本清单!F80</f>
        <v>7</v>
      </c>
      <c r="F80" s="9">
        <f t="array" ref="F80">=IF($A80="","",INDEX(编码员A!$F:$F,MATCH($A80,编码员A!$A:$A,0)))</f>
        <v>1</v>
      </c>
      <c r="G80" s="9">
        <f t="array" ref="G80">=IF($A80="","",INDEX(编码员B!$F:$F,MATCH($A80,编码员B!$A:$A,0)))</f>
        <v>2</v>
      </c>
      <c r="H80" s="8">
        <v>1.5</v>
      </c>
      <c r="I80" s="9">
        <f>=IF(OR(F80="",G80=""),"",IF(F80=G80,1,0))</f>
        <v>0</v>
      </c>
      <c r="J80" s="8" t="s">
        <v>613</v>
      </c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9" t="str">
        <f>=样本清单!A81</f>
        <v>M3_P3_08</v>
      </c>
      <c r="B81" s="9" t="str">
        <f>=样本清单!B81</f>
        <v>M3</v>
      </c>
      <c r="C81" s="9" t="str">
        <f>=样本清单!C81</f>
        <v>MAI-Image-2.5-Pro</v>
      </c>
      <c r="D81" s="9" t="str">
        <f>=样本清单!D81</f>
        <v>P3</v>
      </c>
      <c r="E81" s="9">
        <f>=样本清单!F81</f>
        <v>8</v>
      </c>
      <c r="F81" s="9">
        <f t="array" ref="F81">=IF($A81="","",INDEX(编码员A!$F:$F,MATCH($A81,编码员A!$A:$A,0)))</f>
        <v>2</v>
      </c>
      <c r="G81" s="9">
        <f t="array" ref="G81">=IF($A81="","",INDEX(编码员B!$F:$F,MATCH($A81,编码员B!$A:$A,0)))</f>
        <v>2</v>
      </c>
      <c r="H81" s="8">
        <v>2</v>
      </c>
      <c r="I81" s="9">
        <f>=IF(OR(F81="",G81=""),"",IF(F81=G81,1,0))</f>
        <v>1</v>
      </c>
      <c r="J81" s="8" t="s">
        <v>614</v>
      </c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9" t="str">
        <f>=样本清单!A82</f>
        <v>M3_P3_09</v>
      </c>
      <c r="B82" s="9" t="str">
        <f>=样本清单!B82</f>
        <v>M3</v>
      </c>
      <c r="C82" s="9" t="str">
        <f>=样本清单!C82</f>
        <v>MAI-Image-2.5-Pro</v>
      </c>
      <c r="D82" s="9" t="str">
        <f>=样本清单!D82</f>
        <v>P3</v>
      </c>
      <c r="E82" s="9">
        <f>=样本清单!F82</f>
        <v>9</v>
      </c>
      <c r="F82" s="9">
        <f t="array" ref="F82">=IF($A82="","",INDEX(编码员A!$F:$F,MATCH($A82,编码员A!$A:$A,0)))</f>
        <v>2</v>
      </c>
      <c r="G82" s="9">
        <f t="array" ref="G82">=IF($A82="","",INDEX(编码员B!$F:$F,MATCH($A82,编码员B!$A:$A,0)))</f>
        <v>2</v>
      </c>
      <c r="H82" s="8">
        <v>2</v>
      </c>
      <c r="I82" s="9">
        <f>=IF(OR(F82="",G82=""),"",IF(F82=G82,1,0))</f>
        <v>1</v>
      </c>
      <c r="J82" s="8" t="s">
        <v>614</v>
      </c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9" t="str">
        <f>=样本清单!A83</f>
        <v>M4_P1_01</v>
      </c>
      <c r="B83" s="9" t="str">
        <f>=样本清单!B83</f>
        <v>M4</v>
      </c>
      <c r="C83" s="9" t="str">
        <f>=样本清单!C83</f>
        <v>Reve 2.1</v>
      </c>
      <c r="D83" s="9" t="str">
        <f>=样本清单!D83</f>
        <v>P1</v>
      </c>
      <c r="E83" s="9">
        <f>=样本清单!F83</f>
        <v>1</v>
      </c>
      <c r="F83" s="9">
        <f t="array" ref="F83">=IF($A83="","",INDEX(编码员A!$F:$F,MATCH($A83,编码员A!$A:$A,0)))</f>
        <v>0</v>
      </c>
      <c r="G83" s="9">
        <f t="array" ref="G83">=IF($A83="","",INDEX(编码员B!$F:$F,MATCH($A83,编码员B!$A:$A,0)))</f>
        <v>0</v>
      </c>
      <c r="H83" s="8">
        <v>0</v>
      </c>
      <c r="I83" s="9">
        <f>=IF(OR(F83="",G83=""),"",IF(F83=G83,1,0))</f>
        <v>1</v>
      </c>
      <c r="J83" s="8" t="s">
        <v>614</v>
      </c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9" t="str">
        <f>=样本清单!A84</f>
        <v>M4_P1_02</v>
      </c>
      <c r="B84" s="9" t="str">
        <f>=样本清单!B84</f>
        <v>M4</v>
      </c>
      <c r="C84" s="9" t="str">
        <f>=样本清单!C84</f>
        <v>Reve 2.1</v>
      </c>
      <c r="D84" s="9" t="str">
        <f>=样本清单!D84</f>
        <v>P1</v>
      </c>
      <c r="E84" s="9">
        <f>=样本清单!F84</f>
        <v>2</v>
      </c>
      <c r="F84" s="9">
        <f t="array" ref="F84">=IF($A84="","",INDEX(编码员A!$F:$F,MATCH($A84,编码员A!$A:$A,0)))</f>
        <v>1</v>
      </c>
      <c r="G84" s="9">
        <f t="array" ref="G84">=IF($A84="","",INDEX(编码员B!$F:$F,MATCH($A84,编码员B!$A:$A,0)))</f>
        <v>0</v>
      </c>
      <c r="H84" s="8">
        <v>0.5</v>
      </c>
      <c r="I84" s="9">
        <f>=IF(OR(F84="",G84=""),"",IF(F84=G84,1,0))</f>
        <v>0</v>
      </c>
      <c r="J84" s="8" t="s">
        <v>613</v>
      </c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9" t="str">
        <f>=样本清单!A85</f>
        <v>M4_P1_03</v>
      </c>
      <c r="B85" s="9" t="str">
        <f>=样本清单!B85</f>
        <v>M4</v>
      </c>
      <c r="C85" s="9" t="str">
        <f>=样本清单!C85</f>
        <v>Reve 2.1</v>
      </c>
      <c r="D85" s="9" t="str">
        <f>=样本清单!D85</f>
        <v>P1</v>
      </c>
      <c r="E85" s="9">
        <f>=样本清单!F85</f>
        <v>3</v>
      </c>
      <c r="F85" s="9">
        <f t="array" ref="F85">=IF($A85="","",INDEX(编码员A!$F:$F,MATCH($A85,编码员A!$A:$A,0)))</f>
        <v>1</v>
      </c>
      <c r="G85" s="9">
        <f t="array" ref="G85">=IF($A85="","",INDEX(编码员B!$F:$F,MATCH($A85,编码员B!$A:$A,0)))</f>
        <v>0</v>
      </c>
      <c r="H85" s="8">
        <v>0.5</v>
      </c>
      <c r="I85" s="9">
        <f>=IF(OR(F85="",G85=""),"",IF(F85=G85,1,0))</f>
        <v>0</v>
      </c>
      <c r="J85" s="8" t="s">
        <v>613</v>
      </c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9" t="str">
        <f>=样本清单!A86</f>
        <v>M4_P1_04</v>
      </c>
      <c r="B86" s="9" t="str">
        <f>=样本清单!B86</f>
        <v>M4</v>
      </c>
      <c r="C86" s="9" t="str">
        <f>=样本清单!C86</f>
        <v>Reve 2.1</v>
      </c>
      <c r="D86" s="9" t="str">
        <f>=样本清单!D86</f>
        <v>P1</v>
      </c>
      <c r="E86" s="9">
        <f>=样本清单!F86</f>
        <v>4</v>
      </c>
      <c r="F86" s="9">
        <f t="array" ref="F86">=IF($A86="","",INDEX(编码员A!$F:$F,MATCH($A86,编码员A!$A:$A,0)))</f>
        <v>1</v>
      </c>
      <c r="G86" s="9">
        <f t="array" ref="G86">=IF($A86="","",INDEX(编码员B!$F:$F,MATCH($A86,编码员B!$A:$A,0)))</f>
        <v>0</v>
      </c>
      <c r="H86" s="8">
        <v>0.5</v>
      </c>
      <c r="I86" s="9">
        <f>=IF(OR(F86="",G86=""),"",IF(F86=G86,1,0))</f>
        <v>0</v>
      </c>
      <c r="J86" s="8" t="s">
        <v>613</v>
      </c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9" t="str">
        <f>=样本清单!A87</f>
        <v>M4_P1_05</v>
      </c>
      <c r="B87" s="9" t="str">
        <f>=样本清单!B87</f>
        <v>M4</v>
      </c>
      <c r="C87" s="9" t="str">
        <f>=样本清单!C87</f>
        <v>Reve 2.1</v>
      </c>
      <c r="D87" s="9" t="str">
        <f>=样本清单!D87</f>
        <v>P1</v>
      </c>
      <c r="E87" s="9">
        <f>=样本清单!F87</f>
        <v>5</v>
      </c>
      <c r="F87" s="9">
        <f t="array" ref="F87">=IF($A87="","",INDEX(编码员A!$F:$F,MATCH($A87,编码员A!$A:$A,0)))</f>
        <v>1</v>
      </c>
      <c r="G87" s="9">
        <f t="array" ref="G87">=IF($A87="","",INDEX(编码员B!$F:$F,MATCH($A87,编码员B!$A:$A,0)))</f>
        <v>1</v>
      </c>
      <c r="H87" s="8">
        <v>1</v>
      </c>
      <c r="I87" s="9">
        <f>=IF(OR(F87="",G87=""),"",IF(F87=G87,1,0))</f>
        <v>1</v>
      </c>
      <c r="J87" s="8" t="s">
        <v>614</v>
      </c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9" t="str">
        <f>=样本清单!A88</f>
        <v>M4_P1_06</v>
      </c>
      <c r="B88" s="9" t="str">
        <f>=样本清单!B88</f>
        <v>M4</v>
      </c>
      <c r="C88" s="9" t="str">
        <f>=样本清单!C88</f>
        <v>Reve 2.1</v>
      </c>
      <c r="D88" s="9" t="str">
        <f>=样本清单!D88</f>
        <v>P1</v>
      </c>
      <c r="E88" s="9">
        <f>=样本清单!F88</f>
        <v>6</v>
      </c>
      <c r="F88" s="9">
        <f t="array" ref="F88">=IF($A88="","",INDEX(编码员A!$F:$F,MATCH($A88,编码员A!$A:$A,0)))</f>
        <v>1</v>
      </c>
      <c r="G88" s="9">
        <f t="array" ref="G88">=IF($A88="","",INDEX(编码员B!$F:$F,MATCH($A88,编码员B!$A:$A,0)))</f>
        <v>1</v>
      </c>
      <c r="H88" s="8">
        <v>1</v>
      </c>
      <c r="I88" s="9">
        <f>=IF(OR(F88="",G88=""),"",IF(F88=G88,1,0))</f>
        <v>1</v>
      </c>
      <c r="J88" s="8" t="s">
        <v>614</v>
      </c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9" t="str">
        <f>=样本清单!A89</f>
        <v>M4_P1_07</v>
      </c>
      <c r="B89" s="9" t="str">
        <f>=样本清单!B89</f>
        <v>M4</v>
      </c>
      <c r="C89" s="9" t="str">
        <f>=样本清单!C89</f>
        <v>Reve 2.1</v>
      </c>
      <c r="D89" s="9" t="str">
        <f>=样本清单!D89</f>
        <v>P1</v>
      </c>
      <c r="E89" s="9">
        <f>=样本清单!F89</f>
        <v>7</v>
      </c>
      <c r="F89" s="9">
        <f t="array" ref="F89">=IF($A89="","",INDEX(编码员A!$F:$F,MATCH($A89,编码员A!$A:$A,0)))</f>
        <v>0</v>
      </c>
      <c r="G89" s="9">
        <f t="array" ref="G89">=IF($A89="","",INDEX(编码员B!$F:$F,MATCH($A89,编码员B!$A:$A,0)))</f>
        <v>1</v>
      </c>
      <c r="H89" s="8">
        <v>0.5</v>
      </c>
      <c r="I89" s="9">
        <f>=IF(OR(F89="",G89=""),"",IF(F89=G89,1,0))</f>
        <v>0</v>
      </c>
      <c r="J89" s="8" t="s">
        <v>613</v>
      </c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9" t="str">
        <f>=样本清单!A90</f>
        <v>M4_P1_08</v>
      </c>
      <c r="B90" s="9" t="str">
        <f>=样本清单!B90</f>
        <v>M4</v>
      </c>
      <c r="C90" s="9" t="str">
        <f>=样本清单!C90</f>
        <v>Reve 2.1</v>
      </c>
      <c r="D90" s="9" t="str">
        <f>=样本清单!D90</f>
        <v>P1</v>
      </c>
      <c r="E90" s="9">
        <f>=样本清单!F90</f>
        <v>8</v>
      </c>
      <c r="F90" s="9">
        <f t="array" ref="F90">=IF($A90="","",INDEX(编码员A!$F:$F,MATCH($A90,编码员A!$A:$A,0)))</f>
        <v>2</v>
      </c>
      <c r="G90" s="9">
        <f t="array" ref="G90">=IF($A90="","",INDEX(编码员B!$F:$F,MATCH($A90,编码员B!$A:$A,0)))</f>
        <v>2</v>
      </c>
      <c r="H90" s="8">
        <v>2</v>
      </c>
      <c r="I90" s="9">
        <f>=IF(OR(F90="",G90=""),"",IF(F90=G90,1,0))</f>
        <v>1</v>
      </c>
      <c r="J90" s="8" t="s">
        <v>614</v>
      </c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9" t="str">
        <f>=样本清单!A91</f>
        <v>M4_P1_09</v>
      </c>
      <c r="B91" s="9" t="str">
        <f>=样本清单!B91</f>
        <v>M4</v>
      </c>
      <c r="C91" s="9" t="str">
        <f>=样本清单!C91</f>
        <v>Reve 2.1</v>
      </c>
      <c r="D91" s="9" t="str">
        <f>=样本清单!D91</f>
        <v>P1</v>
      </c>
      <c r="E91" s="9">
        <f>=样本清单!F91</f>
        <v>9</v>
      </c>
      <c r="F91" s="9">
        <f t="array" ref="F91">=IF($A91="","",INDEX(编码员A!$F:$F,MATCH($A91,编码员A!$A:$A,0)))</f>
        <v>2</v>
      </c>
      <c r="G91" s="9">
        <f t="array" ref="G91">=IF($A91="","",INDEX(编码员B!$F:$F,MATCH($A91,编码员B!$A:$A,0)))</f>
        <v>2</v>
      </c>
      <c r="H91" s="8">
        <v>2</v>
      </c>
      <c r="I91" s="9">
        <f>=IF(OR(F91="",G91=""),"",IF(F91=G91,1,0))</f>
        <v>1</v>
      </c>
      <c r="J91" s="8" t="s">
        <v>614</v>
      </c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9" t="str">
        <f>=样本清单!A92</f>
        <v>M4_P2_01</v>
      </c>
      <c r="B92" s="9" t="str">
        <f>=样本清单!B92</f>
        <v>M4</v>
      </c>
      <c r="C92" s="9" t="str">
        <f>=样本清单!C92</f>
        <v>Reve 2.1</v>
      </c>
      <c r="D92" s="9" t="str">
        <f>=样本清单!D92</f>
        <v>P2</v>
      </c>
      <c r="E92" s="9">
        <f>=样本清单!F92</f>
        <v>1</v>
      </c>
      <c r="F92" s="9">
        <f t="array" ref="F92">=IF($A92="","",INDEX(编码员A!$F:$F,MATCH($A92,编码员A!$A:$A,0)))</f>
        <v>1</v>
      </c>
      <c r="G92" s="9">
        <f t="array" ref="G92">=IF($A92="","",INDEX(编码员B!$F:$F,MATCH($A92,编码员B!$A:$A,0)))</f>
        <v>1</v>
      </c>
      <c r="H92" s="8">
        <v>1</v>
      </c>
      <c r="I92" s="9">
        <f>=IF(OR(F92="",G92=""),"",IF(F92=G92,1,0))</f>
        <v>1</v>
      </c>
      <c r="J92" s="8" t="s">
        <v>614</v>
      </c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9" t="str">
        <f>=样本清单!A93</f>
        <v>M4_P2_02</v>
      </c>
      <c r="B93" s="9" t="str">
        <f>=样本清单!B93</f>
        <v>M4</v>
      </c>
      <c r="C93" s="9" t="str">
        <f>=样本清单!C93</f>
        <v>Reve 2.1</v>
      </c>
      <c r="D93" s="9" t="str">
        <f>=样本清单!D93</f>
        <v>P2</v>
      </c>
      <c r="E93" s="9">
        <f>=样本清单!F93</f>
        <v>2</v>
      </c>
      <c r="F93" s="9">
        <f t="array" ref="F93">=IF($A93="","",INDEX(编码员A!$F:$F,MATCH($A93,编码员A!$A:$A,0)))</f>
        <v>1</v>
      </c>
      <c r="G93" s="9">
        <f t="array" ref="G93">=IF($A93="","",INDEX(编码员B!$F:$F,MATCH($A93,编码员B!$A:$A,0)))</f>
        <v>1</v>
      </c>
      <c r="H93" s="8">
        <v>1</v>
      </c>
      <c r="I93" s="9">
        <f>=IF(OR(F93="",G93=""),"",IF(F93=G93,1,0))</f>
        <v>1</v>
      </c>
      <c r="J93" s="8" t="s">
        <v>614</v>
      </c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9" t="str">
        <f>=样本清单!A94</f>
        <v>M4_P2_03</v>
      </c>
      <c r="B94" s="9" t="str">
        <f>=样本清单!B94</f>
        <v>M4</v>
      </c>
      <c r="C94" s="9" t="str">
        <f>=样本清单!C94</f>
        <v>Reve 2.1</v>
      </c>
      <c r="D94" s="9" t="str">
        <f>=样本清单!D94</f>
        <v>P2</v>
      </c>
      <c r="E94" s="9">
        <f>=样本清单!F94</f>
        <v>3</v>
      </c>
      <c r="F94" s="9">
        <f t="array" ref="F94">=IF($A94="","",INDEX(编码员A!$F:$F,MATCH($A94,编码员A!$A:$A,0)))</f>
        <v>1</v>
      </c>
      <c r="G94" s="9">
        <f t="array" ref="G94">=IF($A94="","",INDEX(编码员B!$F:$F,MATCH($A94,编码员B!$A:$A,0)))</f>
        <v>1</v>
      </c>
      <c r="H94" s="8">
        <v>1</v>
      </c>
      <c r="I94" s="9">
        <f>=IF(OR(F94="",G94=""),"",IF(F94=G94,1,0))</f>
        <v>1</v>
      </c>
      <c r="J94" s="8" t="s">
        <v>614</v>
      </c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9" t="str">
        <f>=样本清单!A95</f>
        <v>M4_P2_04</v>
      </c>
      <c r="B95" s="9" t="str">
        <f>=样本清单!B95</f>
        <v>M4</v>
      </c>
      <c r="C95" s="9" t="str">
        <f>=样本清单!C95</f>
        <v>Reve 2.1</v>
      </c>
      <c r="D95" s="9" t="str">
        <f>=样本清单!D95</f>
        <v>P2</v>
      </c>
      <c r="E95" s="9">
        <f>=样本清单!F95</f>
        <v>4</v>
      </c>
      <c r="F95" s="9">
        <f t="array" ref="F95">=IF($A95="","",INDEX(编码员A!$F:$F,MATCH($A95,编码员A!$A:$A,0)))</f>
        <v>1</v>
      </c>
      <c r="G95" s="9">
        <f t="array" ref="G95">=IF($A95="","",INDEX(编码员B!$F:$F,MATCH($A95,编码员B!$A:$A,0)))</f>
        <v>1</v>
      </c>
      <c r="H95" s="8">
        <v>1</v>
      </c>
      <c r="I95" s="9">
        <f>=IF(OR(F95="",G95=""),"",IF(F95=G95,1,0))</f>
        <v>1</v>
      </c>
      <c r="J95" s="8" t="s">
        <v>614</v>
      </c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9" t="str">
        <f>=样本清单!A96</f>
        <v>M4_P2_05</v>
      </c>
      <c r="B96" s="9" t="str">
        <f>=样本清单!B96</f>
        <v>M4</v>
      </c>
      <c r="C96" s="9" t="str">
        <f>=样本清单!C96</f>
        <v>Reve 2.1</v>
      </c>
      <c r="D96" s="9" t="str">
        <f>=样本清单!D96</f>
        <v>P2</v>
      </c>
      <c r="E96" s="9">
        <f>=样本清单!F96</f>
        <v>5</v>
      </c>
      <c r="F96" s="9">
        <f t="array" ref="F96">=IF($A96="","",INDEX(编码员A!$F:$F,MATCH($A96,编码员A!$A:$A,0)))</f>
        <v>1</v>
      </c>
      <c r="G96" s="9">
        <f t="array" ref="G96">=IF($A96="","",INDEX(编码员B!$F:$F,MATCH($A96,编码员B!$A:$A,0)))</f>
        <v>1</v>
      </c>
      <c r="H96" s="8">
        <v>1</v>
      </c>
      <c r="I96" s="9">
        <f>=IF(OR(F96="",G96=""),"",IF(F96=G96,1,0))</f>
        <v>1</v>
      </c>
      <c r="J96" s="8" t="s">
        <v>614</v>
      </c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9" t="str">
        <f>=样本清单!A97</f>
        <v>M4_P2_06</v>
      </c>
      <c r="B97" s="9" t="str">
        <f>=样本清单!B97</f>
        <v>M4</v>
      </c>
      <c r="C97" s="9" t="str">
        <f>=样本清单!C97</f>
        <v>Reve 2.1</v>
      </c>
      <c r="D97" s="9" t="str">
        <f>=样本清单!D97</f>
        <v>P2</v>
      </c>
      <c r="E97" s="9">
        <f>=样本清单!F97</f>
        <v>6</v>
      </c>
      <c r="F97" s="9">
        <f t="array" ref="F97">=IF($A97="","",INDEX(编码员A!$F:$F,MATCH($A97,编码员A!$A:$A,0)))</f>
        <v>2</v>
      </c>
      <c r="G97" s="9">
        <f t="array" ref="G97">=IF($A97="","",INDEX(编码员B!$F:$F,MATCH($A97,编码员B!$A:$A,0)))</f>
        <v>2</v>
      </c>
      <c r="H97" s="8">
        <v>2</v>
      </c>
      <c r="I97" s="9">
        <f>=IF(OR(F97="",G97=""),"",IF(F97=G97,1,0))</f>
        <v>1</v>
      </c>
      <c r="J97" s="8" t="s">
        <v>614</v>
      </c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9" t="str">
        <f>=样本清单!A98</f>
        <v>M4_P2_07</v>
      </c>
      <c r="B98" s="9" t="str">
        <f>=样本清单!B98</f>
        <v>M4</v>
      </c>
      <c r="C98" s="9" t="str">
        <f>=样本清单!C98</f>
        <v>Reve 2.1</v>
      </c>
      <c r="D98" s="9" t="str">
        <f>=样本清单!D98</f>
        <v>P2</v>
      </c>
      <c r="E98" s="9">
        <f>=样本清单!F98</f>
        <v>7</v>
      </c>
      <c r="F98" s="9">
        <f t="array" ref="F98">=IF($A98="","",INDEX(编码员A!$F:$F,MATCH($A98,编码员A!$A:$A,0)))</f>
        <v>1</v>
      </c>
      <c r="G98" s="9">
        <f t="array" ref="G98">=IF($A98="","",INDEX(编码员B!$F:$F,MATCH($A98,编码员B!$A:$A,0)))</f>
        <v>1</v>
      </c>
      <c r="H98" s="8">
        <v>1</v>
      </c>
      <c r="I98" s="9">
        <f>=IF(OR(F98="",G98=""),"",IF(F98=G98,1,0))</f>
        <v>1</v>
      </c>
      <c r="J98" s="8" t="s">
        <v>614</v>
      </c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9" t="str">
        <f>=样本清单!A99</f>
        <v>M4_P2_08</v>
      </c>
      <c r="B99" s="9" t="str">
        <f>=样本清单!B99</f>
        <v>M4</v>
      </c>
      <c r="C99" s="9" t="str">
        <f>=样本清单!C99</f>
        <v>Reve 2.1</v>
      </c>
      <c r="D99" s="9" t="str">
        <f>=样本清单!D99</f>
        <v>P2</v>
      </c>
      <c r="E99" s="9">
        <f>=样本清单!F99</f>
        <v>8</v>
      </c>
      <c r="F99" s="9">
        <f t="array" ref="F99">=IF($A99="","",INDEX(编码员A!$F:$F,MATCH($A99,编码员A!$A:$A,0)))</f>
        <v>1</v>
      </c>
      <c r="G99" s="9">
        <f t="array" ref="G99">=IF($A99="","",INDEX(编码员B!$F:$F,MATCH($A99,编码员B!$A:$A,0)))</f>
        <v>1</v>
      </c>
      <c r="H99" s="8">
        <v>1</v>
      </c>
      <c r="I99" s="9">
        <f>=IF(OR(F99="",G99=""),"",IF(F99=G99,1,0))</f>
        <v>1</v>
      </c>
      <c r="J99" s="8" t="s">
        <v>614</v>
      </c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9" t="str">
        <f>=样本清单!A100</f>
        <v>M4_P2_09</v>
      </c>
      <c r="B100" s="9" t="str">
        <f>=样本清单!B100</f>
        <v>M4</v>
      </c>
      <c r="C100" s="9" t="str">
        <f>=样本清单!C100</f>
        <v>Reve 2.1</v>
      </c>
      <c r="D100" s="9" t="str">
        <f>=样本清单!D100</f>
        <v>P2</v>
      </c>
      <c r="E100" s="9">
        <f>=样本清单!F100</f>
        <v>9</v>
      </c>
      <c r="F100" s="9">
        <f t="array" ref="F100">=IF($A100="","",INDEX(编码员A!$F:$F,MATCH($A100,编码员A!$A:$A,0)))</f>
        <v>1</v>
      </c>
      <c r="G100" s="9">
        <f t="array" ref="G100">=IF($A100="","",INDEX(编码员B!$F:$F,MATCH($A100,编码员B!$A:$A,0)))</f>
        <v>1</v>
      </c>
      <c r="H100" s="8">
        <v>1</v>
      </c>
      <c r="I100" s="9">
        <f>=IF(OR(F100="",G100=""),"",IF(F100=G100,1,0))</f>
        <v>1</v>
      </c>
      <c r="J100" s="8" t="s">
        <v>614</v>
      </c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9" t="str">
        <f>=样本清单!A101</f>
        <v>M4_P3_01</v>
      </c>
      <c r="B101" s="9" t="str">
        <f>=样本清单!B101</f>
        <v>M4</v>
      </c>
      <c r="C101" s="9" t="str">
        <f>=样本清单!C101</f>
        <v>Reve 2.1</v>
      </c>
      <c r="D101" s="9" t="str">
        <f>=样本清单!D101</f>
        <v>P3</v>
      </c>
      <c r="E101" s="9">
        <f>=样本清单!F101</f>
        <v>1</v>
      </c>
      <c r="F101" s="9">
        <f t="array" ref="F101">=IF($A101="","",INDEX(编码员A!$F:$F,MATCH($A101,编码员A!$A:$A,0)))</f>
        <v>1</v>
      </c>
      <c r="G101" s="9">
        <f t="array" ref="G101">=IF($A101="","",INDEX(编码员B!$F:$F,MATCH($A101,编码员B!$A:$A,0)))</f>
        <v>1</v>
      </c>
      <c r="H101" s="8">
        <v>1</v>
      </c>
      <c r="I101" s="9">
        <f>=IF(OR(F101="",G101=""),"",IF(F101=G101,1,0))</f>
        <v>1</v>
      </c>
      <c r="J101" s="8" t="s">
        <v>614</v>
      </c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9" t="str">
        <f>=样本清单!A102</f>
        <v>M4_P3_02</v>
      </c>
      <c r="B102" s="9" t="str">
        <f>=样本清单!B102</f>
        <v>M4</v>
      </c>
      <c r="C102" s="9" t="str">
        <f>=样本清单!C102</f>
        <v>Reve 2.1</v>
      </c>
      <c r="D102" s="9" t="str">
        <f>=样本清单!D102</f>
        <v>P3</v>
      </c>
      <c r="E102" s="9">
        <f>=样本清单!F102</f>
        <v>2</v>
      </c>
      <c r="F102" s="9">
        <f t="array" ref="F102">=IF($A102="","",INDEX(编码员A!$F:$F,MATCH($A102,编码员A!$A:$A,0)))</f>
        <v>1</v>
      </c>
      <c r="G102" s="9">
        <f t="array" ref="G102">=IF($A102="","",INDEX(编码员B!$F:$F,MATCH($A102,编码员B!$A:$A,0)))</f>
        <v>1</v>
      </c>
      <c r="H102" s="8">
        <v>1</v>
      </c>
      <c r="I102" s="9">
        <f>=IF(OR(F102="",G102=""),"",IF(F102=G102,1,0))</f>
        <v>1</v>
      </c>
      <c r="J102" s="8" t="s">
        <v>614</v>
      </c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9" t="str">
        <f>=样本清单!A103</f>
        <v>M4_P3_03</v>
      </c>
      <c r="B103" s="9" t="str">
        <f>=样本清单!B103</f>
        <v>M4</v>
      </c>
      <c r="C103" s="9" t="str">
        <f>=样本清单!C103</f>
        <v>Reve 2.1</v>
      </c>
      <c r="D103" s="9" t="str">
        <f>=样本清单!D103</f>
        <v>P3</v>
      </c>
      <c r="E103" s="9">
        <f>=样本清单!F103</f>
        <v>3</v>
      </c>
      <c r="F103" s="9">
        <f t="array" ref="F103">=IF($A103="","",INDEX(编码员A!$F:$F,MATCH($A103,编码员A!$A:$A,0)))</f>
        <v>1</v>
      </c>
      <c r="G103" s="9">
        <f t="array" ref="G103">=IF($A103="","",INDEX(编码员B!$F:$F,MATCH($A103,编码员B!$A:$A,0)))</f>
        <v>2</v>
      </c>
      <c r="H103" s="8">
        <v>1.5</v>
      </c>
      <c r="I103" s="9">
        <f>=IF(OR(F103="",G103=""),"",IF(F103=G103,1,0))</f>
        <v>0</v>
      </c>
      <c r="J103" s="8" t="s">
        <v>613</v>
      </c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9" t="str">
        <f>=样本清单!A104</f>
        <v>M4_P3_04</v>
      </c>
      <c r="B104" s="9" t="str">
        <f>=样本清单!B104</f>
        <v>M4</v>
      </c>
      <c r="C104" s="9" t="str">
        <f>=样本清单!C104</f>
        <v>Reve 2.1</v>
      </c>
      <c r="D104" s="9" t="str">
        <f>=样本清单!D104</f>
        <v>P3</v>
      </c>
      <c r="E104" s="9">
        <f>=样本清单!F104</f>
        <v>4</v>
      </c>
      <c r="F104" s="9">
        <f t="array" ref="F104">=IF($A104="","",INDEX(编码员A!$F:$F,MATCH($A104,编码员A!$A:$A,0)))</f>
        <v>2</v>
      </c>
      <c r="G104" s="9">
        <f t="array" ref="G104">=IF($A104="","",INDEX(编码员B!$F:$F,MATCH($A104,编码员B!$A:$A,0)))</f>
        <v>2</v>
      </c>
      <c r="H104" s="8">
        <v>2</v>
      </c>
      <c r="I104" s="9">
        <f>=IF(OR(F104="",G104=""),"",IF(F104=G104,1,0))</f>
        <v>1</v>
      </c>
      <c r="J104" s="8" t="s">
        <v>614</v>
      </c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9" t="str">
        <f>=样本清单!A105</f>
        <v>M4_P3_05</v>
      </c>
      <c r="B105" s="9" t="str">
        <f>=样本清单!B105</f>
        <v>M4</v>
      </c>
      <c r="C105" s="9" t="str">
        <f>=样本清单!C105</f>
        <v>Reve 2.1</v>
      </c>
      <c r="D105" s="9" t="str">
        <f>=样本清单!D105</f>
        <v>P3</v>
      </c>
      <c r="E105" s="9">
        <f>=样本清单!F105</f>
        <v>5</v>
      </c>
      <c r="F105" s="9">
        <f t="array" ref="F105">=IF($A105="","",INDEX(编码员A!$F:$F,MATCH($A105,编码员A!$A:$A,0)))</f>
        <v>1</v>
      </c>
      <c r="G105" s="9">
        <f t="array" ref="G105">=IF($A105="","",INDEX(编码员B!$F:$F,MATCH($A105,编码员B!$A:$A,0)))</f>
        <v>1</v>
      </c>
      <c r="H105" s="8">
        <v>1</v>
      </c>
      <c r="I105" s="9">
        <f>=IF(OR(F105="",G105=""),"",IF(F105=G105,1,0))</f>
        <v>1</v>
      </c>
      <c r="J105" s="8" t="s">
        <v>614</v>
      </c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9" t="str">
        <f>=样本清单!A106</f>
        <v>M4_P3_06</v>
      </c>
      <c r="B106" s="9" t="str">
        <f>=样本清单!B106</f>
        <v>M4</v>
      </c>
      <c r="C106" s="9" t="str">
        <f>=样本清单!C106</f>
        <v>Reve 2.1</v>
      </c>
      <c r="D106" s="9" t="str">
        <f>=样本清单!D106</f>
        <v>P3</v>
      </c>
      <c r="E106" s="9">
        <f>=样本清单!F106</f>
        <v>6</v>
      </c>
      <c r="F106" s="9">
        <f t="array" ref="F106">=IF($A106="","",INDEX(编码员A!$F:$F,MATCH($A106,编码员A!$A:$A,0)))</f>
        <v>1</v>
      </c>
      <c r="G106" s="9">
        <f t="array" ref="G106">=IF($A106="","",INDEX(编码员B!$F:$F,MATCH($A106,编码员B!$A:$A,0)))</f>
        <v>1</v>
      </c>
      <c r="H106" s="8">
        <v>1</v>
      </c>
      <c r="I106" s="9">
        <f>=IF(OR(F106="",G106=""),"",IF(F106=G106,1,0))</f>
        <v>1</v>
      </c>
      <c r="J106" s="8" t="s">
        <v>614</v>
      </c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9" t="str">
        <f>=样本清单!A107</f>
        <v>M4_P3_07</v>
      </c>
      <c r="B107" s="9" t="str">
        <f>=样本清单!B107</f>
        <v>M4</v>
      </c>
      <c r="C107" s="9" t="str">
        <f>=样本清单!C107</f>
        <v>Reve 2.1</v>
      </c>
      <c r="D107" s="9" t="str">
        <f>=样本清单!D107</f>
        <v>P3</v>
      </c>
      <c r="E107" s="9">
        <f>=样本清单!F107</f>
        <v>7</v>
      </c>
      <c r="F107" s="9">
        <f t="array" ref="F107">=IF($A107="","",INDEX(编码员A!$F:$F,MATCH($A107,编码员A!$A:$A,0)))</f>
        <v>1</v>
      </c>
      <c r="G107" s="9">
        <f t="array" ref="G107">=IF($A107="","",INDEX(编码员B!$F:$F,MATCH($A107,编码员B!$A:$A,0)))</f>
        <v>1</v>
      </c>
      <c r="H107" s="8">
        <v>1</v>
      </c>
      <c r="I107" s="9">
        <f>=IF(OR(F107="",G107=""),"",IF(F107=G107,1,0))</f>
        <v>1</v>
      </c>
      <c r="J107" s="8" t="s">
        <v>614</v>
      </c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9" t="str">
        <f>=样本清单!A108</f>
        <v>M4_P3_08</v>
      </c>
      <c r="B108" s="9" t="str">
        <f>=样本清单!B108</f>
        <v>M4</v>
      </c>
      <c r="C108" s="9" t="str">
        <f>=样本清单!C108</f>
        <v>Reve 2.1</v>
      </c>
      <c r="D108" s="9" t="str">
        <f>=样本清单!D108</f>
        <v>P3</v>
      </c>
      <c r="E108" s="9">
        <f>=样本清单!F108</f>
        <v>8</v>
      </c>
      <c r="F108" s="9">
        <f t="array" ref="F108">=IF($A108="","",INDEX(编码员A!$F:$F,MATCH($A108,编码员A!$A:$A,0)))</f>
        <v>1</v>
      </c>
      <c r="G108" s="9">
        <f t="array" ref="G108">=IF($A108="","",INDEX(编码员B!$F:$F,MATCH($A108,编码员B!$A:$A,0)))</f>
        <v>1</v>
      </c>
      <c r="H108" s="8">
        <v>1</v>
      </c>
      <c r="I108" s="9">
        <f>=IF(OR(F108="",G108=""),"",IF(F108=G108,1,0))</f>
        <v>1</v>
      </c>
      <c r="J108" s="8" t="s">
        <v>614</v>
      </c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9" t="str">
        <f>=样本清单!A109</f>
        <v>M4_P3_09</v>
      </c>
      <c r="B109" s="9" t="str">
        <f>=样本清单!B109</f>
        <v>M4</v>
      </c>
      <c r="C109" s="9" t="str">
        <f>=样本清单!C109</f>
        <v>Reve 2.1</v>
      </c>
      <c r="D109" s="9" t="str">
        <f>=样本清单!D109</f>
        <v>P3</v>
      </c>
      <c r="E109" s="9">
        <f>=样本清单!F109</f>
        <v>9</v>
      </c>
      <c r="F109" s="9">
        <f t="array" ref="F109">=IF($A109="","",INDEX(编码员A!$F:$F,MATCH($A109,编码员A!$A:$A,0)))</f>
        <v>1</v>
      </c>
      <c r="G109" s="9">
        <f t="array" ref="G109">=IF($A109="","",INDEX(编码员B!$F:$F,MATCH($A109,编码员B!$A:$A,0)))</f>
        <v>1</v>
      </c>
      <c r="H109" s="8">
        <v>1</v>
      </c>
      <c r="I109" s="9">
        <f>=IF(OR(F109="",G109=""),"",IF(F109=G109,1,0))</f>
        <v>1</v>
      </c>
      <c r="J109" s="8" t="s">
        <v>614</v>
      </c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9" t="str">
        <f>=样本清单!A110</f>
        <v>M5_P1_01</v>
      </c>
      <c r="B110" s="9" t="str">
        <f>=样本清单!B110</f>
        <v>M5</v>
      </c>
      <c r="C110" s="9" t="str">
        <f>=样本清单!C110</f>
        <v>Seedream 5.0 Lite</v>
      </c>
      <c r="D110" s="9" t="str">
        <f>=样本清单!D110</f>
        <v>P1</v>
      </c>
      <c r="E110" s="9">
        <f>=样本清单!F110</f>
        <v>1</v>
      </c>
      <c r="F110" s="9">
        <f t="array" ref="F110">=IF($A110="","",INDEX(编码员A!$F:$F,MATCH($A110,编码员A!$A:$A,0)))</f>
        <v>2</v>
      </c>
      <c r="G110" s="9">
        <f t="array" ref="G110">=IF($A110="","",INDEX(编码员B!$F:$F,MATCH($A110,编码员B!$A:$A,0)))</f>
        <v>2</v>
      </c>
      <c r="H110" s="8">
        <v>2</v>
      </c>
      <c r="I110" s="9">
        <f>=IF(OR(F110="",G110=""),"",IF(F110=G110,1,0))</f>
        <v>1</v>
      </c>
      <c r="J110" s="8" t="s">
        <v>614</v>
      </c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9" t="str">
        <f>=样本清单!A111</f>
        <v>M5_P1_02</v>
      </c>
      <c r="B111" s="9" t="str">
        <f>=样本清单!B111</f>
        <v>M5</v>
      </c>
      <c r="C111" s="9" t="str">
        <f>=样本清单!C111</f>
        <v>Seedream 5.0 Lite</v>
      </c>
      <c r="D111" s="9" t="str">
        <f>=样本清单!D111</f>
        <v>P1</v>
      </c>
      <c r="E111" s="9">
        <f>=样本清单!F111</f>
        <v>2</v>
      </c>
      <c r="F111" s="9">
        <f t="array" ref="F111">=IF($A111="","",INDEX(编码员A!$F:$F,MATCH($A111,编码员A!$A:$A,0)))</f>
        <v>2</v>
      </c>
      <c r="G111" s="9">
        <f t="array" ref="G111">=IF($A111="","",INDEX(编码员B!$F:$F,MATCH($A111,编码员B!$A:$A,0)))</f>
        <v>2</v>
      </c>
      <c r="H111" s="8">
        <v>2</v>
      </c>
      <c r="I111" s="9">
        <f>=IF(OR(F111="",G111=""),"",IF(F111=G111,1,0))</f>
        <v>1</v>
      </c>
      <c r="J111" s="8" t="s">
        <v>614</v>
      </c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9" t="str">
        <f>=样本清单!A112</f>
        <v>M5_P1_03</v>
      </c>
      <c r="B112" s="9" t="str">
        <f>=样本清单!B112</f>
        <v>M5</v>
      </c>
      <c r="C112" s="9" t="str">
        <f>=样本清单!C112</f>
        <v>Seedream 5.0 Lite</v>
      </c>
      <c r="D112" s="9" t="str">
        <f>=样本清单!D112</f>
        <v>P1</v>
      </c>
      <c r="E112" s="9">
        <f>=样本清单!F112</f>
        <v>3</v>
      </c>
      <c r="F112" s="9">
        <f t="array" ref="F112">=IF($A112="","",INDEX(编码员A!$F:$F,MATCH($A112,编码员A!$A:$A,0)))</f>
        <v>1</v>
      </c>
      <c r="G112" s="9">
        <f t="array" ref="G112">=IF($A112="","",INDEX(编码员B!$F:$F,MATCH($A112,编码员B!$A:$A,0)))</f>
        <v>1</v>
      </c>
      <c r="H112" s="8">
        <v>1</v>
      </c>
      <c r="I112" s="9">
        <f>=IF(OR(F112="",G112=""),"",IF(F112=G112,1,0))</f>
        <v>1</v>
      </c>
      <c r="J112" s="8" t="s">
        <v>614</v>
      </c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9" t="str">
        <f>=样本清单!A113</f>
        <v>M5_P1_04</v>
      </c>
      <c r="B113" s="9" t="str">
        <f>=样本清单!B113</f>
        <v>M5</v>
      </c>
      <c r="C113" s="9" t="str">
        <f>=样本清单!C113</f>
        <v>Seedream 5.0 Lite</v>
      </c>
      <c r="D113" s="9" t="str">
        <f>=样本清单!D113</f>
        <v>P1</v>
      </c>
      <c r="E113" s="9">
        <f>=样本清单!F113</f>
        <v>4</v>
      </c>
      <c r="F113" s="9">
        <f t="array" ref="F113">=IF($A113="","",INDEX(编码员A!$F:$F,MATCH($A113,编码员A!$A:$A,0)))</f>
        <v>2</v>
      </c>
      <c r="G113" s="9">
        <f t="array" ref="G113">=IF($A113="","",INDEX(编码员B!$F:$F,MATCH($A113,编码员B!$A:$A,0)))</f>
        <v>2</v>
      </c>
      <c r="H113" s="8">
        <v>2</v>
      </c>
      <c r="I113" s="9">
        <f>=IF(OR(F113="",G113=""),"",IF(F113=G113,1,0))</f>
        <v>1</v>
      </c>
      <c r="J113" s="8" t="s">
        <v>614</v>
      </c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9" t="str">
        <f>=样本清单!A114</f>
        <v>M5_P1_05</v>
      </c>
      <c r="B114" s="9" t="str">
        <f>=样本清单!B114</f>
        <v>M5</v>
      </c>
      <c r="C114" s="9" t="str">
        <f>=样本清单!C114</f>
        <v>Seedream 5.0 Lite</v>
      </c>
      <c r="D114" s="9" t="str">
        <f>=样本清单!D114</f>
        <v>P1</v>
      </c>
      <c r="E114" s="9">
        <f>=样本清单!F114</f>
        <v>5</v>
      </c>
      <c r="F114" s="9">
        <f t="array" ref="F114">=IF($A114="","",INDEX(编码员A!$F:$F,MATCH($A114,编码员A!$A:$A,0)))</f>
        <v>1</v>
      </c>
      <c r="G114" s="9">
        <f t="array" ref="G114">=IF($A114="","",INDEX(编码员B!$F:$F,MATCH($A114,编码员B!$A:$A,0)))</f>
        <v>1</v>
      </c>
      <c r="H114" s="8">
        <v>1</v>
      </c>
      <c r="I114" s="9">
        <f>=IF(OR(F114="",G114=""),"",IF(F114=G114,1,0))</f>
        <v>1</v>
      </c>
      <c r="J114" s="8" t="s">
        <v>614</v>
      </c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9" t="str">
        <f>=样本清单!A115</f>
        <v>M5_P1_06</v>
      </c>
      <c r="B115" s="9" t="str">
        <f>=样本清单!B115</f>
        <v>M5</v>
      </c>
      <c r="C115" s="9" t="str">
        <f>=样本清单!C115</f>
        <v>Seedream 5.0 Lite</v>
      </c>
      <c r="D115" s="9" t="str">
        <f>=样本清单!D115</f>
        <v>P1</v>
      </c>
      <c r="E115" s="9">
        <f>=样本清单!F115</f>
        <v>6</v>
      </c>
      <c r="F115" s="9">
        <f t="array" ref="F115">=IF($A115="","",INDEX(编码员A!$F:$F,MATCH($A115,编码员A!$A:$A,0)))</f>
        <v>2</v>
      </c>
      <c r="G115" s="9">
        <f t="array" ref="G115">=IF($A115="","",INDEX(编码员B!$F:$F,MATCH($A115,编码员B!$A:$A,0)))</f>
        <v>2</v>
      </c>
      <c r="H115" s="8">
        <v>2</v>
      </c>
      <c r="I115" s="9">
        <f>=IF(OR(F115="",G115=""),"",IF(F115=G115,1,0))</f>
        <v>1</v>
      </c>
      <c r="J115" s="8" t="s">
        <v>614</v>
      </c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9" t="str">
        <f>=样本清单!A116</f>
        <v>M5_P1_07</v>
      </c>
      <c r="B116" s="9" t="str">
        <f>=样本清单!B116</f>
        <v>M5</v>
      </c>
      <c r="C116" s="9" t="str">
        <f>=样本清单!C116</f>
        <v>Seedream 5.0 Lite</v>
      </c>
      <c r="D116" s="9" t="str">
        <f>=样本清单!D116</f>
        <v>P1</v>
      </c>
      <c r="E116" s="9">
        <f>=样本清单!F116</f>
        <v>7</v>
      </c>
      <c r="F116" s="9">
        <f t="array" ref="F116">=IF($A116="","",INDEX(编码员A!$F:$F,MATCH($A116,编码员A!$A:$A,0)))</f>
        <v>1</v>
      </c>
      <c r="G116" s="9">
        <f t="array" ref="G116">=IF($A116="","",INDEX(编码员B!$F:$F,MATCH($A116,编码员B!$A:$A,0)))</f>
        <v>1</v>
      </c>
      <c r="H116" s="8">
        <v>1</v>
      </c>
      <c r="I116" s="9">
        <f>=IF(OR(F116="",G116=""),"",IF(F116=G116,1,0))</f>
        <v>1</v>
      </c>
      <c r="J116" s="8" t="s">
        <v>614</v>
      </c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9" t="str">
        <f>=样本清单!A117</f>
        <v>M5_P1_08</v>
      </c>
      <c r="B117" s="9" t="str">
        <f>=样本清单!B117</f>
        <v>M5</v>
      </c>
      <c r="C117" s="9" t="str">
        <f>=样本清单!C117</f>
        <v>Seedream 5.0 Lite</v>
      </c>
      <c r="D117" s="9" t="str">
        <f>=样本清单!D117</f>
        <v>P1</v>
      </c>
      <c r="E117" s="9">
        <f>=样本清单!F117</f>
        <v>8</v>
      </c>
      <c r="F117" s="9">
        <f t="array" ref="F117">=IF($A117="","",INDEX(编码员A!$F:$F,MATCH($A117,编码员A!$A:$A,0)))</f>
        <v>2</v>
      </c>
      <c r="G117" s="9">
        <f t="array" ref="G117">=IF($A117="","",INDEX(编码员B!$F:$F,MATCH($A117,编码员B!$A:$A,0)))</f>
        <v>2</v>
      </c>
      <c r="H117" s="8">
        <v>2</v>
      </c>
      <c r="I117" s="9">
        <f>=IF(OR(F117="",G117=""),"",IF(F117=G117,1,0))</f>
        <v>1</v>
      </c>
      <c r="J117" s="8" t="s">
        <v>614</v>
      </c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9" t="str">
        <f>=样本清单!A118</f>
        <v>M5_P1_09</v>
      </c>
      <c r="B118" s="9" t="str">
        <f>=样本清单!B118</f>
        <v>M5</v>
      </c>
      <c r="C118" s="9" t="str">
        <f>=样本清单!C118</f>
        <v>Seedream 5.0 Lite</v>
      </c>
      <c r="D118" s="9" t="str">
        <f>=样本清单!D118</f>
        <v>P1</v>
      </c>
      <c r="E118" s="9">
        <f>=样本清单!F118</f>
        <v>9</v>
      </c>
      <c r="F118" s="9">
        <f t="array" ref="F118">=IF($A118="","",INDEX(编码员A!$F:$F,MATCH($A118,编码员A!$A:$A,0)))</f>
        <v>2</v>
      </c>
      <c r="G118" s="9">
        <f t="array" ref="G118">=IF($A118="","",INDEX(编码员B!$F:$F,MATCH($A118,编码员B!$A:$A,0)))</f>
        <v>1</v>
      </c>
      <c r="H118" s="8">
        <v>1.5</v>
      </c>
      <c r="I118" s="9">
        <f>=IF(OR(F118="",G118=""),"",IF(F118=G118,1,0))</f>
        <v>0</v>
      </c>
      <c r="J118" s="8" t="s">
        <v>613</v>
      </c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9" t="str">
        <f>=样本清单!A119</f>
        <v>M5_P2_01</v>
      </c>
      <c r="B119" s="9" t="str">
        <f>=样本清单!B119</f>
        <v>M5</v>
      </c>
      <c r="C119" s="9" t="str">
        <f>=样本清单!C119</f>
        <v>Seedream 5.0 Lite</v>
      </c>
      <c r="D119" s="9" t="str">
        <f>=样本清单!D119</f>
        <v>P2</v>
      </c>
      <c r="E119" s="9">
        <f>=样本清单!F119</f>
        <v>1</v>
      </c>
      <c r="F119" s="9">
        <f t="array" ref="F119">=IF($A119="","",INDEX(编码员A!$F:$F,MATCH($A119,编码员A!$A:$A,0)))</f>
        <v>2</v>
      </c>
      <c r="G119" s="9">
        <f t="array" ref="G119">=IF($A119="","",INDEX(编码员B!$F:$F,MATCH($A119,编码员B!$A:$A,0)))</f>
        <v>1</v>
      </c>
      <c r="H119" s="8">
        <v>1.5</v>
      </c>
      <c r="I119" s="9">
        <f>=IF(OR(F119="",G119=""),"",IF(F119=G119,1,0))</f>
        <v>0</v>
      </c>
      <c r="J119" s="8" t="s">
        <v>613</v>
      </c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9" t="str">
        <f>=样本清单!A120</f>
        <v>M5_P2_02</v>
      </c>
      <c r="B120" s="9" t="str">
        <f>=样本清单!B120</f>
        <v>M5</v>
      </c>
      <c r="C120" s="9" t="str">
        <f>=样本清单!C120</f>
        <v>Seedream 5.0 Lite</v>
      </c>
      <c r="D120" s="9" t="str">
        <f>=样本清单!D120</f>
        <v>P2</v>
      </c>
      <c r="E120" s="9">
        <f>=样本清单!F120</f>
        <v>2</v>
      </c>
      <c r="F120" s="9">
        <f t="array" ref="F120">=IF($A120="","",INDEX(编码员A!$F:$F,MATCH($A120,编码员A!$A:$A,0)))</f>
        <v>2</v>
      </c>
      <c r="G120" s="9">
        <f t="array" ref="G120">=IF($A120="","",INDEX(编码员B!$F:$F,MATCH($A120,编码员B!$A:$A,0)))</f>
        <v>1</v>
      </c>
      <c r="H120" s="8">
        <v>1.5</v>
      </c>
      <c r="I120" s="9">
        <f>=IF(OR(F120="",G120=""),"",IF(F120=G120,1,0))</f>
        <v>0</v>
      </c>
      <c r="J120" s="8" t="s">
        <v>613</v>
      </c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9" t="str">
        <f>=样本清单!A121</f>
        <v>M5_P2_03</v>
      </c>
      <c r="B121" s="9" t="str">
        <f>=样本清单!B121</f>
        <v>M5</v>
      </c>
      <c r="C121" s="9" t="str">
        <f>=样本清单!C121</f>
        <v>Seedream 5.0 Lite</v>
      </c>
      <c r="D121" s="9" t="str">
        <f>=样本清单!D121</f>
        <v>P2</v>
      </c>
      <c r="E121" s="9">
        <f>=样本清单!F121</f>
        <v>3</v>
      </c>
      <c r="F121" s="9">
        <f t="array" ref="F121">=IF($A121="","",INDEX(编码员A!$F:$F,MATCH($A121,编码员A!$A:$A,0)))</f>
        <v>1</v>
      </c>
      <c r="G121" s="9">
        <f t="array" ref="G121">=IF($A121="","",INDEX(编码员B!$F:$F,MATCH($A121,编码员B!$A:$A,0)))</f>
        <v>1</v>
      </c>
      <c r="H121" s="8">
        <v>1</v>
      </c>
      <c r="I121" s="9">
        <f>=IF(OR(F121="",G121=""),"",IF(F121=G121,1,0))</f>
        <v>1</v>
      </c>
      <c r="J121" s="8" t="s">
        <v>614</v>
      </c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9" t="str">
        <f>=样本清单!A122</f>
        <v>M5_P2_04</v>
      </c>
      <c r="B122" s="9" t="str">
        <f>=样本清单!B122</f>
        <v>M5</v>
      </c>
      <c r="C122" s="9" t="str">
        <f>=样本清单!C122</f>
        <v>Seedream 5.0 Lite</v>
      </c>
      <c r="D122" s="9" t="str">
        <f>=样本清单!D122</f>
        <v>P2</v>
      </c>
      <c r="E122" s="9">
        <f>=样本清单!F122</f>
        <v>4</v>
      </c>
      <c r="F122" s="9">
        <f t="array" ref="F122">=IF($A122="","",INDEX(编码员A!$F:$F,MATCH($A122,编码员A!$A:$A,0)))</f>
        <v>2</v>
      </c>
      <c r="G122" s="9">
        <f t="array" ref="G122">=IF($A122="","",INDEX(编码员B!$F:$F,MATCH($A122,编码员B!$A:$A,0)))</f>
        <v>1</v>
      </c>
      <c r="H122" s="8">
        <v>1.5</v>
      </c>
      <c r="I122" s="9">
        <f>=IF(OR(F122="",G122=""),"",IF(F122=G122,1,0))</f>
        <v>0</v>
      </c>
      <c r="J122" s="8" t="s">
        <v>613</v>
      </c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9" t="str">
        <f>=样本清单!A123</f>
        <v>M5_P2_05</v>
      </c>
      <c r="B123" s="9" t="str">
        <f>=样本清单!B123</f>
        <v>M5</v>
      </c>
      <c r="C123" s="9" t="str">
        <f>=样本清单!C123</f>
        <v>Seedream 5.0 Lite</v>
      </c>
      <c r="D123" s="9" t="str">
        <f>=样本清单!D123</f>
        <v>P2</v>
      </c>
      <c r="E123" s="9">
        <f>=样本清单!F123</f>
        <v>5</v>
      </c>
      <c r="F123" s="9">
        <f t="array" ref="F123">=IF($A123="","",INDEX(编码员A!$F:$F,MATCH($A123,编码员A!$A:$A,0)))</f>
        <v>2</v>
      </c>
      <c r="G123" s="9">
        <f t="array" ref="G123">=IF($A123="","",INDEX(编码员B!$F:$F,MATCH($A123,编码员B!$A:$A,0)))</f>
        <v>1</v>
      </c>
      <c r="H123" s="8">
        <v>1.5</v>
      </c>
      <c r="I123" s="9">
        <f>=IF(OR(F123="",G123=""),"",IF(F123=G123,1,0))</f>
        <v>0</v>
      </c>
      <c r="J123" s="8" t="s">
        <v>613</v>
      </c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9" t="str">
        <f>=样本清单!A124</f>
        <v>M5_P2_06</v>
      </c>
      <c r="B124" s="9" t="str">
        <f>=样本清单!B124</f>
        <v>M5</v>
      </c>
      <c r="C124" s="9" t="str">
        <f>=样本清单!C124</f>
        <v>Seedream 5.0 Lite</v>
      </c>
      <c r="D124" s="9" t="str">
        <f>=样本清单!D124</f>
        <v>P2</v>
      </c>
      <c r="E124" s="9">
        <f>=样本清单!F124</f>
        <v>6</v>
      </c>
      <c r="F124" s="9">
        <f t="array" ref="F124">=IF($A124="","",INDEX(编码员A!$F:$F,MATCH($A124,编码员A!$A:$A,0)))</f>
        <v>2</v>
      </c>
      <c r="G124" s="9">
        <f t="array" ref="G124">=IF($A124="","",INDEX(编码员B!$F:$F,MATCH($A124,编码员B!$A:$A,0)))</f>
        <v>2</v>
      </c>
      <c r="H124" s="8">
        <v>2</v>
      </c>
      <c r="I124" s="9">
        <f>=IF(OR(F124="",G124=""),"",IF(F124=G124,1,0))</f>
        <v>1</v>
      </c>
      <c r="J124" s="8" t="s">
        <v>614</v>
      </c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9" t="str">
        <f>=样本清单!A125</f>
        <v>M5_P2_07</v>
      </c>
      <c r="B125" s="9" t="str">
        <f>=样本清单!B125</f>
        <v>M5</v>
      </c>
      <c r="C125" s="9" t="str">
        <f>=样本清单!C125</f>
        <v>Seedream 5.0 Lite</v>
      </c>
      <c r="D125" s="9" t="str">
        <f>=样本清单!D125</f>
        <v>P2</v>
      </c>
      <c r="E125" s="9">
        <f>=样本清单!F125</f>
        <v>7</v>
      </c>
      <c r="F125" s="9">
        <f t="array" ref="F125">=IF($A125="","",INDEX(编码员A!$F:$F,MATCH($A125,编码员A!$A:$A,0)))</f>
        <v>1</v>
      </c>
      <c r="G125" s="9">
        <f t="array" ref="G125">=IF($A125="","",INDEX(编码员B!$F:$F,MATCH($A125,编码员B!$A:$A,0)))</f>
        <v>1</v>
      </c>
      <c r="H125" s="8">
        <v>1</v>
      </c>
      <c r="I125" s="9">
        <f>=IF(OR(F125="",G125=""),"",IF(F125=G125,1,0))</f>
        <v>1</v>
      </c>
      <c r="J125" s="8" t="s">
        <v>614</v>
      </c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9" t="str">
        <f>=样本清单!A126</f>
        <v>M5_P2_08</v>
      </c>
      <c r="B126" s="9" t="str">
        <f>=样本清单!B126</f>
        <v>M5</v>
      </c>
      <c r="C126" s="9" t="str">
        <f>=样本清单!C126</f>
        <v>Seedream 5.0 Lite</v>
      </c>
      <c r="D126" s="9" t="str">
        <f>=样本清单!D126</f>
        <v>P2</v>
      </c>
      <c r="E126" s="9">
        <f>=样本清单!F126</f>
        <v>8</v>
      </c>
      <c r="F126" s="9">
        <f t="array" ref="F126">=IF($A126="","",INDEX(编码员A!$F:$F,MATCH($A126,编码员A!$A:$A,0)))</f>
        <v>1</v>
      </c>
      <c r="G126" s="9">
        <f t="array" ref="G126">=IF($A126="","",INDEX(编码员B!$F:$F,MATCH($A126,编码员B!$A:$A,0)))</f>
        <v>1</v>
      </c>
      <c r="H126" s="8">
        <v>1</v>
      </c>
      <c r="I126" s="9">
        <f>=IF(OR(F126="",G126=""),"",IF(F126=G126,1,0))</f>
        <v>1</v>
      </c>
      <c r="J126" s="8" t="s">
        <v>614</v>
      </c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9" t="str">
        <f>=样本清单!A127</f>
        <v>M5_P2_09</v>
      </c>
      <c r="B127" s="9" t="str">
        <f>=样本清单!B127</f>
        <v>M5</v>
      </c>
      <c r="C127" s="9" t="str">
        <f>=样本清单!C127</f>
        <v>Seedream 5.0 Lite</v>
      </c>
      <c r="D127" s="9" t="str">
        <f>=样本清单!D127</f>
        <v>P2</v>
      </c>
      <c r="E127" s="9">
        <f>=样本清单!F127</f>
        <v>9</v>
      </c>
      <c r="F127" s="9">
        <f t="array" ref="F127">=IF($A127="","",INDEX(编码员A!$F:$F,MATCH($A127,编码员A!$A:$A,0)))</f>
        <v>1</v>
      </c>
      <c r="G127" s="9">
        <f t="array" ref="G127">=IF($A127="","",INDEX(编码员B!$F:$F,MATCH($A127,编码员B!$A:$A,0)))</f>
        <v>2</v>
      </c>
      <c r="H127" s="8">
        <v>1.5</v>
      </c>
      <c r="I127" s="9">
        <f>=IF(OR(F127="",G127=""),"",IF(F127=G127,1,0))</f>
        <v>0</v>
      </c>
      <c r="J127" s="8" t="s">
        <v>613</v>
      </c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9" t="str">
        <f>=样本清单!A128</f>
        <v>M5_P3_01</v>
      </c>
      <c r="B128" s="9" t="str">
        <f>=样本清单!B128</f>
        <v>M5</v>
      </c>
      <c r="C128" s="9" t="str">
        <f>=样本清单!C128</f>
        <v>Seedream 5.0 Lite</v>
      </c>
      <c r="D128" s="9" t="str">
        <f>=样本清单!D128</f>
        <v>P3</v>
      </c>
      <c r="E128" s="9">
        <f>=样本清单!F128</f>
        <v>1</v>
      </c>
      <c r="F128" s="9">
        <f t="array" ref="F128">=IF($A128="","",INDEX(编码员A!$F:$F,MATCH($A128,编码员A!$A:$A,0)))</f>
        <v>2</v>
      </c>
      <c r="G128" s="9">
        <f t="array" ref="G128">=IF($A128="","",INDEX(编码员B!$F:$F,MATCH($A128,编码员B!$A:$A,0)))</f>
        <v>1</v>
      </c>
      <c r="H128" s="8">
        <v>1.5</v>
      </c>
      <c r="I128" s="9">
        <f>=IF(OR(F128="",G128=""),"",IF(F128=G128,1,0))</f>
        <v>0</v>
      </c>
      <c r="J128" s="8" t="s">
        <v>613</v>
      </c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9" t="str">
        <f>=样本清单!A129</f>
        <v>M5_P3_02</v>
      </c>
      <c r="B129" s="9" t="str">
        <f>=样本清单!B129</f>
        <v>M5</v>
      </c>
      <c r="C129" s="9" t="str">
        <f>=样本清单!C129</f>
        <v>Seedream 5.0 Lite</v>
      </c>
      <c r="D129" s="9" t="str">
        <f>=样本清单!D129</f>
        <v>P3</v>
      </c>
      <c r="E129" s="9">
        <f>=样本清单!F129</f>
        <v>2</v>
      </c>
      <c r="F129" s="9">
        <f t="array" ref="F129">=IF($A129="","",INDEX(编码员A!$F:$F,MATCH($A129,编码员A!$A:$A,0)))</f>
        <v>2</v>
      </c>
      <c r="G129" s="9">
        <f t="array" ref="G129">=IF($A129="","",INDEX(编码员B!$F:$F,MATCH($A129,编码员B!$A:$A,0)))</f>
        <v>1</v>
      </c>
      <c r="H129" s="8">
        <v>1.5</v>
      </c>
      <c r="I129" s="9">
        <f>=IF(OR(F129="",G129=""),"",IF(F129=G129,1,0))</f>
        <v>0</v>
      </c>
      <c r="J129" s="8" t="s">
        <v>613</v>
      </c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9" t="str">
        <f>=样本清单!A130</f>
        <v>M5_P3_03</v>
      </c>
      <c r="B130" s="9" t="str">
        <f>=样本清单!B130</f>
        <v>M5</v>
      </c>
      <c r="C130" s="9" t="str">
        <f>=样本清单!C130</f>
        <v>Seedream 5.0 Lite</v>
      </c>
      <c r="D130" s="9" t="str">
        <f>=样本清单!D130</f>
        <v>P3</v>
      </c>
      <c r="E130" s="9">
        <f>=样本清单!F130</f>
        <v>3</v>
      </c>
      <c r="F130" s="9">
        <f t="array" ref="F130">=IF($A130="","",INDEX(编码员A!$F:$F,MATCH($A130,编码员A!$A:$A,0)))</f>
        <v>2</v>
      </c>
      <c r="G130" s="9">
        <f t="array" ref="G130">=IF($A130="","",INDEX(编码员B!$F:$F,MATCH($A130,编码员B!$A:$A,0)))</f>
        <v>2</v>
      </c>
      <c r="H130" s="8">
        <v>2</v>
      </c>
      <c r="I130" s="9">
        <f>=IF(OR(F130="",G130=""),"",IF(F130=G130,1,0))</f>
        <v>1</v>
      </c>
      <c r="J130" s="8" t="s">
        <v>614</v>
      </c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9" t="str">
        <f>=样本清单!A131</f>
        <v>M5_P3_04</v>
      </c>
      <c r="B131" s="9" t="str">
        <f>=样本清单!B131</f>
        <v>M5</v>
      </c>
      <c r="C131" s="9" t="str">
        <f>=样本清单!C131</f>
        <v>Seedream 5.0 Lite</v>
      </c>
      <c r="D131" s="9" t="str">
        <f>=样本清单!D131</f>
        <v>P3</v>
      </c>
      <c r="E131" s="9">
        <f>=样本清单!F131</f>
        <v>4</v>
      </c>
      <c r="F131" s="9">
        <f t="array" ref="F131">=IF($A131="","",INDEX(编码员A!$F:$F,MATCH($A131,编码员A!$A:$A,0)))</f>
        <v>2</v>
      </c>
      <c r="G131" s="9">
        <f t="array" ref="G131">=IF($A131="","",INDEX(编码员B!$F:$F,MATCH($A131,编码员B!$A:$A,0)))</f>
        <v>2</v>
      </c>
      <c r="H131" s="8">
        <v>2</v>
      </c>
      <c r="I131" s="9">
        <f>=IF(OR(F131="",G131=""),"",IF(F131=G131,1,0))</f>
        <v>1</v>
      </c>
      <c r="J131" s="8" t="s">
        <v>614</v>
      </c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9" t="str">
        <f>=样本清单!A132</f>
        <v>M5_P3_05</v>
      </c>
      <c r="B132" s="9" t="str">
        <f>=样本清单!B132</f>
        <v>M5</v>
      </c>
      <c r="C132" s="9" t="str">
        <f>=样本清单!C132</f>
        <v>Seedream 5.0 Lite</v>
      </c>
      <c r="D132" s="9" t="str">
        <f>=样本清单!D132</f>
        <v>P3</v>
      </c>
      <c r="E132" s="9">
        <f>=样本清单!F132</f>
        <v>5</v>
      </c>
      <c r="F132" s="9">
        <f t="array" ref="F132">=IF($A132="","",INDEX(编码员A!$F:$F,MATCH($A132,编码员A!$A:$A,0)))</f>
        <v>2</v>
      </c>
      <c r="G132" s="9">
        <f t="array" ref="G132">=IF($A132="","",INDEX(编码员B!$F:$F,MATCH($A132,编码员B!$A:$A,0)))</f>
        <v>1</v>
      </c>
      <c r="H132" s="8">
        <v>1.5</v>
      </c>
      <c r="I132" s="9">
        <f>=IF(OR(F132="",G132=""),"",IF(F132=G132,1,0))</f>
        <v>0</v>
      </c>
      <c r="J132" s="8" t="s">
        <v>613</v>
      </c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9" t="str">
        <f>=样本清单!A133</f>
        <v>M5_P3_06</v>
      </c>
      <c r="B133" s="9" t="str">
        <f>=样本清单!B133</f>
        <v>M5</v>
      </c>
      <c r="C133" s="9" t="str">
        <f>=样本清单!C133</f>
        <v>Seedream 5.0 Lite</v>
      </c>
      <c r="D133" s="9" t="str">
        <f>=样本清单!D133</f>
        <v>P3</v>
      </c>
      <c r="E133" s="9">
        <f>=样本清单!F133</f>
        <v>6</v>
      </c>
      <c r="F133" s="9">
        <f t="array" ref="F133">=IF($A133="","",INDEX(编码员A!$F:$F,MATCH($A133,编码员A!$A:$A,0)))</f>
        <v>2</v>
      </c>
      <c r="G133" s="9">
        <f t="array" ref="G133">=IF($A133="","",INDEX(编码员B!$F:$F,MATCH($A133,编码员B!$A:$A,0)))</f>
        <v>2</v>
      </c>
      <c r="H133" s="8">
        <v>2</v>
      </c>
      <c r="I133" s="9">
        <f>=IF(OR(F133="",G133=""),"",IF(F133=G133,1,0))</f>
        <v>1</v>
      </c>
      <c r="J133" s="8" t="s">
        <v>614</v>
      </c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9" t="str">
        <f>=样本清单!A134</f>
        <v>M5_P3_07</v>
      </c>
      <c r="B134" s="9" t="str">
        <f>=样本清单!B134</f>
        <v>M5</v>
      </c>
      <c r="C134" s="9" t="str">
        <f>=样本清单!C134</f>
        <v>Seedream 5.0 Lite</v>
      </c>
      <c r="D134" s="9" t="str">
        <f>=样本清单!D134</f>
        <v>P3</v>
      </c>
      <c r="E134" s="9">
        <f>=样本清单!F134</f>
        <v>7</v>
      </c>
      <c r="F134" s="9">
        <f t="array" ref="F134">=IF($A134="","",INDEX(编码员A!$F:$F,MATCH($A134,编码员A!$A:$A,0)))</f>
        <v>2</v>
      </c>
      <c r="G134" s="9">
        <f t="array" ref="G134">=IF($A134="","",INDEX(编码员B!$F:$F,MATCH($A134,编码员B!$A:$A,0)))</f>
        <v>1</v>
      </c>
      <c r="H134" s="8">
        <v>1.5</v>
      </c>
      <c r="I134" s="9">
        <f>=IF(OR(F134="",G134=""),"",IF(F134=G134,1,0))</f>
        <v>0</v>
      </c>
      <c r="J134" s="8" t="s">
        <v>613</v>
      </c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9" t="str">
        <f>=样本清单!A135</f>
        <v>M5_P3_08</v>
      </c>
      <c r="B135" s="9" t="str">
        <f>=样本清单!B135</f>
        <v>M5</v>
      </c>
      <c r="C135" s="9" t="str">
        <f>=样本清单!C135</f>
        <v>Seedream 5.0 Lite</v>
      </c>
      <c r="D135" s="9" t="str">
        <f>=样本清单!D135</f>
        <v>P3</v>
      </c>
      <c r="E135" s="9">
        <f>=样本清单!F135</f>
        <v>8</v>
      </c>
      <c r="F135" s="9">
        <f t="array" ref="F135">=IF($A135="","",INDEX(编码员A!$F:$F,MATCH($A135,编码员A!$A:$A,0)))</f>
        <v>2</v>
      </c>
      <c r="G135" s="9">
        <f t="array" ref="G135">=IF($A135="","",INDEX(编码员B!$F:$F,MATCH($A135,编码员B!$A:$A,0)))</f>
        <v>1</v>
      </c>
      <c r="H135" s="8">
        <v>1.5</v>
      </c>
      <c r="I135" s="9">
        <f>=IF(OR(F135="",G135=""),"",IF(F135=G135,1,0))</f>
        <v>0</v>
      </c>
      <c r="J135" s="8" t="s">
        <v>613</v>
      </c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9" t="str">
        <f>=样本清单!A136</f>
        <v>M5_P3_09</v>
      </c>
      <c r="B136" s="9" t="str">
        <f>=样本清单!B136</f>
        <v>M5</v>
      </c>
      <c r="C136" s="9" t="str">
        <f>=样本清单!C136</f>
        <v>Seedream 5.0 Lite</v>
      </c>
      <c r="D136" s="9" t="str">
        <f>=样本清单!D136</f>
        <v>P3</v>
      </c>
      <c r="E136" s="9">
        <f>=样本清单!F136</f>
        <v>9</v>
      </c>
      <c r="F136" s="9">
        <f t="array" ref="F136">=IF($A136="","",INDEX(编码员A!$F:$F,MATCH($A136,编码员A!$A:$A,0)))</f>
        <v>2</v>
      </c>
      <c r="G136" s="9">
        <f t="array" ref="G136">=IF($A136="","",INDEX(编码员B!$F:$F,MATCH($A136,编码员B!$A:$A,0)))</f>
        <v>2</v>
      </c>
      <c r="H136" s="8">
        <v>2</v>
      </c>
      <c r="I136" s="9">
        <f>=IF(OR(F136="",G136=""),"",IF(F136=G136,1,0))</f>
        <v>1</v>
      </c>
      <c r="J136" s="8" t="s">
        <v>614</v>
      </c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9" t="str">
        <f>=样本清单!A137</f>
        <v>M6_P1_01</v>
      </c>
      <c r="B137" s="9" t="str">
        <f>=样本清单!B137</f>
        <v>M6</v>
      </c>
      <c r="C137" s="9" t="str">
        <f>=样本清单!C137</f>
        <v>HunyuanImage-3.0</v>
      </c>
      <c r="D137" s="9" t="str">
        <f>=样本清单!D137</f>
        <v>P1</v>
      </c>
      <c r="E137" s="9">
        <f>=样本清单!F137</f>
        <v>1</v>
      </c>
      <c r="F137" s="9">
        <f t="array" ref="F137">=IF($A137="","",INDEX(编码员A!$F:$F,MATCH($A137,编码员A!$A:$A,0)))</f>
        <v>2</v>
      </c>
      <c r="G137" s="9">
        <f t="array" ref="G137">=IF($A137="","",INDEX(编码员B!$F:$F,MATCH($A137,编码员B!$A:$A,0)))</f>
        <v>2</v>
      </c>
      <c r="H137" s="8">
        <v>2</v>
      </c>
      <c r="I137" s="9">
        <f>=IF(OR(F137="",G137=""),"",IF(F137=G137,1,0))</f>
        <v>1</v>
      </c>
      <c r="J137" s="8" t="s">
        <v>614</v>
      </c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9" t="str">
        <f>=样本清单!A138</f>
        <v>M6_P1_02</v>
      </c>
      <c r="B138" s="9" t="str">
        <f>=样本清单!B138</f>
        <v>M6</v>
      </c>
      <c r="C138" s="9" t="str">
        <f>=样本清单!C138</f>
        <v>HunyuanImage-3.0</v>
      </c>
      <c r="D138" s="9" t="str">
        <f>=样本清单!D138</f>
        <v>P1</v>
      </c>
      <c r="E138" s="9">
        <f>=样本清单!F138</f>
        <v>2</v>
      </c>
      <c r="F138" s="9">
        <f t="array" ref="F138">=IF($A138="","",INDEX(编码员A!$F:$F,MATCH($A138,编码员A!$A:$A,0)))</f>
        <v>1</v>
      </c>
      <c r="G138" s="9">
        <f t="array" ref="G138">=IF($A138="","",INDEX(编码员B!$F:$F,MATCH($A138,编码员B!$A:$A,0)))</f>
        <v>2</v>
      </c>
      <c r="H138" s="8">
        <v>1.5</v>
      </c>
      <c r="I138" s="9">
        <f>=IF(OR(F138="",G138=""),"",IF(F138=G138,1,0))</f>
        <v>0</v>
      </c>
      <c r="J138" s="8" t="s">
        <v>613</v>
      </c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9" t="str">
        <f>=样本清单!A139</f>
        <v>M6_P1_03</v>
      </c>
      <c r="B139" s="9" t="str">
        <f>=样本清单!B139</f>
        <v>M6</v>
      </c>
      <c r="C139" s="9" t="str">
        <f>=样本清单!C139</f>
        <v>HunyuanImage-3.0</v>
      </c>
      <c r="D139" s="9" t="str">
        <f>=样本清单!D139</f>
        <v>P1</v>
      </c>
      <c r="E139" s="9">
        <f>=样本清单!F139</f>
        <v>3</v>
      </c>
      <c r="F139" s="9">
        <f t="array" ref="F139">=IF($A139="","",INDEX(编码员A!$F:$F,MATCH($A139,编码员A!$A:$A,0)))</f>
        <v>2</v>
      </c>
      <c r="G139" s="9">
        <f t="array" ref="G139">=IF($A139="","",INDEX(编码员B!$F:$F,MATCH($A139,编码员B!$A:$A,0)))</f>
        <v>2</v>
      </c>
      <c r="H139" s="8">
        <v>2</v>
      </c>
      <c r="I139" s="9">
        <f>=IF(OR(F139="",G139=""),"",IF(F139=G139,1,0))</f>
        <v>1</v>
      </c>
      <c r="J139" s="8" t="s">
        <v>614</v>
      </c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9" t="str">
        <f>=样本清单!A140</f>
        <v>M6_P1_04</v>
      </c>
      <c r="B140" s="9" t="str">
        <f>=样本清单!B140</f>
        <v>M6</v>
      </c>
      <c r="C140" s="9" t="str">
        <f>=样本清单!C140</f>
        <v>HunyuanImage-3.0</v>
      </c>
      <c r="D140" s="9" t="str">
        <f>=样本清单!D140</f>
        <v>P1</v>
      </c>
      <c r="E140" s="9">
        <f>=样本清单!F140</f>
        <v>4</v>
      </c>
      <c r="F140" s="9">
        <f t="array" ref="F140">=IF($A140="","",INDEX(编码员A!$F:$F,MATCH($A140,编码员A!$A:$A,0)))</f>
        <v>2</v>
      </c>
      <c r="G140" s="9">
        <f t="array" ref="G140">=IF($A140="","",INDEX(编码员B!$F:$F,MATCH($A140,编码员B!$A:$A,0)))</f>
        <v>2</v>
      </c>
      <c r="H140" s="8">
        <v>2</v>
      </c>
      <c r="I140" s="9">
        <f>=IF(OR(F140="",G140=""),"",IF(F140=G140,1,0))</f>
        <v>1</v>
      </c>
      <c r="J140" s="8" t="s">
        <v>614</v>
      </c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9" t="str">
        <f>=样本清单!A141</f>
        <v>M6_P1_05</v>
      </c>
      <c r="B141" s="9" t="str">
        <f>=样本清单!B141</f>
        <v>M6</v>
      </c>
      <c r="C141" s="9" t="str">
        <f>=样本清单!C141</f>
        <v>HunyuanImage-3.0</v>
      </c>
      <c r="D141" s="9" t="str">
        <f>=样本清单!D141</f>
        <v>P1</v>
      </c>
      <c r="E141" s="9">
        <f>=样本清单!F141</f>
        <v>5</v>
      </c>
      <c r="F141" s="9">
        <f t="array" ref="F141">=IF($A141="","",INDEX(编码员A!$F:$F,MATCH($A141,编码员A!$A:$A,0)))</f>
        <v>2</v>
      </c>
      <c r="G141" s="9">
        <f t="array" ref="G141">=IF($A141="","",INDEX(编码员B!$F:$F,MATCH($A141,编码员B!$A:$A,0)))</f>
        <v>2</v>
      </c>
      <c r="H141" s="8">
        <v>2</v>
      </c>
      <c r="I141" s="9">
        <f>=IF(OR(F141="",G141=""),"",IF(F141=G141,1,0))</f>
        <v>1</v>
      </c>
      <c r="J141" s="8" t="s">
        <v>614</v>
      </c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9" t="str">
        <f>=样本清单!A142</f>
        <v>M6_P1_06</v>
      </c>
      <c r="B142" s="9" t="str">
        <f>=样本清单!B142</f>
        <v>M6</v>
      </c>
      <c r="C142" s="9" t="str">
        <f>=样本清单!C142</f>
        <v>HunyuanImage-3.0</v>
      </c>
      <c r="D142" s="9" t="str">
        <f>=样本清单!D142</f>
        <v>P1</v>
      </c>
      <c r="E142" s="9">
        <f>=样本清单!F142</f>
        <v>6</v>
      </c>
      <c r="F142" s="9">
        <f t="array" ref="F142">=IF($A142="","",INDEX(编码员A!$F:$F,MATCH($A142,编码员A!$A:$A,0)))</f>
        <v>1</v>
      </c>
      <c r="G142" s="9">
        <f t="array" ref="G142">=IF($A142="","",INDEX(编码员B!$F:$F,MATCH($A142,编码员B!$A:$A,0)))</f>
        <v>2</v>
      </c>
      <c r="H142" s="8">
        <v>1.5</v>
      </c>
      <c r="I142" s="9">
        <f>=IF(OR(F142="",G142=""),"",IF(F142=G142,1,0))</f>
        <v>0</v>
      </c>
      <c r="J142" s="8" t="s">
        <v>613</v>
      </c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9" t="str">
        <f>=样本清单!A143</f>
        <v>M6_P1_07</v>
      </c>
      <c r="B143" s="9" t="str">
        <f>=样本清单!B143</f>
        <v>M6</v>
      </c>
      <c r="C143" s="9" t="str">
        <f>=样本清单!C143</f>
        <v>HunyuanImage-3.0</v>
      </c>
      <c r="D143" s="9" t="str">
        <f>=样本清单!D143</f>
        <v>P1</v>
      </c>
      <c r="E143" s="9">
        <f>=样本清单!F143</f>
        <v>7</v>
      </c>
      <c r="F143" s="9">
        <f t="array" ref="F143">=IF($A143="","",INDEX(编码员A!$F:$F,MATCH($A143,编码员A!$A:$A,0)))</f>
        <v>2</v>
      </c>
      <c r="G143" s="9">
        <f t="array" ref="G143">=IF($A143="","",INDEX(编码员B!$F:$F,MATCH($A143,编码员B!$A:$A,0)))</f>
        <v>2</v>
      </c>
      <c r="H143" s="8">
        <v>2</v>
      </c>
      <c r="I143" s="9">
        <f>=IF(OR(F143="",G143=""),"",IF(F143=G143,1,0))</f>
        <v>1</v>
      </c>
      <c r="J143" s="8" t="s">
        <v>614</v>
      </c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9" t="str">
        <f>=样本清单!A144</f>
        <v>M6_P1_08</v>
      </c>
      <c r="B144" s="9" t="str">
        <f>=样本清单!B144</f>
        <v>M6</v>
      </c>
      <c r="C144" s="9" t="str">
        <f>=样本清单!C144</f>
        <v>HunyuanImage-3.0</v>
      </c>
      <c r="D144" s="9" t="str">
        <f>=样本清单!D144</f>
        <v>P1</v>
      </c>
      <c r="E144" s="9">
        <f>=样本清单!F144</f>
        <v>8</v>
      </c>
      <c r="F144" s="9">
        <f t="array" ref="F144">=IF($A144="","",INDEX(编码员A!$F:$F,MATCH($A144,编码员A!$A:$A,0)))</f>
        <v>2</v>
      </c>
      <c r="G144" s="9">
        <f t="array" ref="G144">=IF($A144="","",INDEX(编码员B!$F:$F,MATCH($A144,编码员B!$A:$A,0)))</f>
        <v>2</v>
      </c>
      <c r="H144" s="8">
        <v>2</v>
      </c>
      <c r="I144" s="9">
        <f>=IF(OR(F144="",G144=""),"",IF(F144=G144,1,0))</f>
        <v>1</v>
      </c>
      <c r="J144" s="8" t="s">
        <v>614</v>
      </c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9" t="str">
        <f>=样本清单!A145</f>
        <v>M6_P1_09</v>
      </c>
      <c r="B145" s="9" t="str">
        <f>=样本清单!B145</f>
        <v>M6</v>
      </c>
      <c r="C145" s="9" t="str">
        <f>=样本清单!C145</f>
        <v>HunyuanImage-3.0</v>
      </c>
      <c r="D145" s="9" t="str">
        <f>=样本清单!D145</f>
        <v>P1</v>
      </c>
      <c r="E145" s="9">
        <f>=样本清单!F145</f>
        <v>9</v>
      </c>
      <c r="F145" s="9">
        <f t="array" ref="F145">=IF($A145="","",INDEX(编码员A!$F:$F,MATCH($A145,编码员A!$A:$A,0)))</f>
        <v>2</v>
      </c>
      <c r="G145" s="9">
        <f t="array" ref="G145">=IF($A145="","",INDEX(编码员B!$F:$F,MATCH($A145,编码员B!$A:$A,0)))</f>
        <v>2</v>
      </c>
      <c r="H145" s="8">
        <v>2</v>
      </c>
      <c r="I145" s="9">
        <f>=IF(OR(F145="",G145=""),"",IF(F145=G145,1,0))</f>
        <v>1</v>
      </c>
      <c r="J145" s="8" t="s">
        <v>614</v>
      </c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9" t="str">
        <f>=样本清单!A146</f>
        <v>M6_P2_01</v>
      </c>
      <c r="B146" s="9" t="str">
        <f>=样本清单!B146</f>
        <v>M6</v>
      </c>
      <c r="C146" s="9" t="str">
        <f>=样本清单!C146</f>
        <v>HunyuanImage-3.0</v>
      </c>
      <c r="D146" s="9" t="str">
        <f>=样本清单!D146</f>
        <v>P2</v>
      </c>
      <c r="E146" s="9">
        <f>=样本清单!F146</f>
        <v>1</v>
      </c>
      <c r="F146" s="9">
        <f t="array" ref="F146">=IF($A146="","",INDEX(编码员A!$F:$F,MATCH($A146,编码员A!$A:$A,0)))</f>
        <v>2</v>
      </c>
      <c r="G146" s="9">
        <f t="array" ref="G146">=IF($A146="","",INDEX(编码员B!$F:$F,MATCH($A146,编码员B!$A:$A,0)))</f>
        <v>2</v>
      </c>
      <c r="H146" s="8">
        <v>2</v>
      </c>
      <c r="I146" s="9">
        <f>=IF(OR(F146="",G146=""),"",IF(F146=G146,1,0))</f>
        <v>1</v>
      </c>
      <c r="J146" s="8" t="s">
        <v>614</v>
      </c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9" t="str">
        <f>=样本清单!A147</f>
        <v>M6_P2_02</v>
      </c>
      <c r="B147" s="9" t="str">
        <f>=样本清单!B147</f>
        <v>M6</v>
      </c>
      <c r="C147" s="9" t="str">
        <f>=样本清单!C147</f>
        <v>HunyuanImage-3.0</v>
      </c>
      <c r="D147" s="9" t="str">
        <f>=样本清单!D147</f>
        <v>P2</v>
      </c>
      <c r="E147" s="9">
        <f>=样本清单!F147</f>
        <v>2</v>
      </c>
      <c r="F147" s="9">
        <f t="array" ref="F147">=IF($A147="","",INDEX(编码员A!$F:$F,MATCH($A147,编码员A!$A:$A,0)))</f>
        <v>2</v>
      </c>
      <c r="G147" s="9">
        <f t="array" ref="G147">=IF($A147="","",INDEX(编码员B!$F:$F,MATCH($A147,编码员B!$A:$A,0)))</f>
        <v>2</v>
      </c>
      <c r="H147" s="8">
        <v>2</v>
      </c>
      <c r="I147" s="9">
        <f>=IF(OR(F147="",G147=""),"",IF(F147=G147,1,0))</f>
        <v>1</v>
      </c>
      <c r="J147" s="8" t="s">
        <v>614</v>
      </c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9" t="str">
        <f>=样本清单!A148</f>
        <v>M6_P2_03</v>
      </c>
      <c r="B148" s="9" t="str">
        <f>=样本清单!B148</f>
        <v>M6</v>
      </c>
      <c r="C148" s="9" t="str">
        <f>=样本清单!C148</f>
        <v>HunyuanImage-3.0</v>
      </c>
      <c r="D148" s="9" t="str">
        <f>=样本清单!D148</f>
        <v>P2</v>
      </c>
      <c r="E148" s="9">
        <f>=样本清单!F148</f>
        <v>3</v>
      </c>
      <c r="F148" s="9">
        <f t="array" ref="F148">=IF($A148="","",INDEX(编码员A!$F:$F,MATCH($A148,编码员A!$A:$A,0)))</f>
        <v>2</v>
      </c>
      <c r="G148" s="9">
        <f t="array" ref="G148">=IF($A148="","",INDEX(编码员B!$F:$F,MATCH($A148,编码员B!$A:$A,0)))</f>
        <v>2</v>
      </c>
      <c r="H148" s="8">
        <v>2</v>
      </c>
      <c r="I148" s="9">
        <f>=IF(OR(F148="",G148=""),"",IF(F148=G148,1,0))</f>
        <v>1</v>
      </c>
      <c r="J148" s="8" t="s">
        <v>614</v>
      </c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9" t="str">
        <f>=样本清单!A149</f>
        <v>M6_P2_04</v>
      </c>
      <c r="B149" s="9" t="str">
        <f>=样本清单!B149</f>
        <v>M6</v>
      </c>
      <c r="C149" s="9" t="str">
        <f>=样本清单!C149</f>
        <v>HunyuanImage-3.0</v>
      </c>
      <c r="D149" s="9" t="str">
        <f>=样本清单!D149</f>
        <v>P2</v>
      </c>
      <c r="E149" s="9">
        <f>=样本清单!F149</f>
        <v>4</v>
      </c>
      <c r="F149" s="9">
        <f t="array" ref="F149">=IF($A149="","",INDEX(编码员A!$F:$F,MATCH($A149,编码员A!$A:$A,0)))</f>
        <v>2</v>
      </c>
      <c r="G149" s="9">
        <f t="array" ref="G149">=IF($A149="","",INDEX(编码员B!$F:$F,MATCH($A149,编码员B!$A:$A,0)))</f>
        <v>2</v>
      </c>
      <c r="H149" s="8">
        <v>2</v>
      </c>
      <c r="I149" s="9">
        <f>=IF(OR(F149="",G149=""),"",IF(F149=G149,1,0))</f>
        <v>1</v>
      </c>
      <c r="J149" s="8" t="s">
        <v>614</v>
      </c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9" t="str">
        <f>=样本清单!A150</f>
        <v>M6_P2_05</v>
      </c>
      <c r="B150" s="9" t="str">
        <f>=样本清单!B150</f>
        <v>M6</v>
      </c>
      <c r="C150" s="9" t="str">
        <f>=样本清单!C150</f>
        <v>HunyuanImage-3.0</v>
      </c>
      <c r="D150" s="9" t="str">
        <f>=样本清单!D150</f>
        <v>P2</v>
      </c>
      <c r="E150" s="9">
        <f>=样本清单!F150</f>
        <v>5</v>
      </c>
      <c r="F150" s="9">
        <f t="array" ref="F150">=IF($A150="","",INDEX(编码员A!$F:$F,MATCH($A150,编码员A!$A:$A,0)))</f>
        <v>2</v>
      </c>
      <c r="G150" s="9">
        <f t="array" ref="G150">=IF($A150="","",INDEX(编码员B!$F:$F,MATCH($A150,编码员B!$A:$A,0)))</f>
        <v>2</v>
      </c>
      <c r="H150" s="8">
        <v>2</v>
      </c>
      <c r="I150" s="9">
        <f>=IF(OR(F150="",G150=""),"",IF(F150=G150,1,0))</f>
        <v>1</v>
      </c>
      <c r="J150" s="8" t="s">
        <v>614</v>
      </c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9" t="str">
        <f>=样本清单!A151</f>
        <v>M6_P2_06</v>
      </c>
      <c r="B151" s="9" t="str">
        <f>=样本清单!B151</f>
        <v>M6</v>
      </c>
      <c r="C151" s="9" t="str">
        <f>=样本清单!C151</f>
        <v>HunyuanImage-3.0</v>
      </c>
      <c r="D151" s="9" t="str">
        <f>=样本清单!D151</f>
        <v>P2</v>
      </c>
      <c r="E151" s="9">
        <f>=样本清单!F151</f>
        <v>6</v>
      </c>
      <c r="F151" s="9">
        <f t="array" ref="F151">=IF($A151="","",INDEX(编码员A!$F:$F,MATCH($A151,编码员A!$A:$A,0)))</f>
        <v>2</v>
      </c>
      <c r="G151" s="9">
        <f t="array" ref="G151">=IF($A151="","",INDEX(编码员B!$F:$F,MATCH($A151,编码员B!$A:$A,0)))</f>
        <v>2</v>
      </c>
      <c r="H151" s="8">
        <v>2</v>
      </c>
      <c r="I151" s="9">
        <f>=IF(OR(F151="",G151=""),"",IF(F151=G151,1,0))</f>
        <v>1</v>
      </c>
      <c r="J151" s="8" t="s">
        <v>614</v>
      </c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9" t="str">
        <f>=样本清单!A152</f>
        <v>M6_P2_07</v>
      </c>
      <c r="B152" s="9" t="str">
        <f>=样本清单!B152</f>
        <v>M6</v>
      </c>
      <c r="C152" s="9" t="str">
        <f>=样本清单!C152</f>
        <v>HunyuanImage-3.0</v>
      </c>
      <c r="D152" s="9" t="str">
        <f>=样本清单!D152</f>
        <v>P2</v>
      </c>
      <c r="E152" s="9">
        <f>=样本清单!F152</f>
        <v>7</v>
      </c>
      <c r="F152" s="9">
        <f t="array" ref="F152">=IF($A152="","",INDEX(编码员A!$F:$F,MATCH($A152,编码员A!$A:$A,0)))</f>
        <v>2</v>
      </c>
      <c r="G152" s="9">
        <f t="array" ref="G152">=IF($A152="","",INDEX(编码员B!$F:$F,MATCH($A152,编码员B!$A:$A,0)))</f>
        <v>2</v>
      </c>
      <c r="H152" s="8">
        <v>2</v>
      </c>
      <c r="I152" s="9">
        <f>=IF(OR(F152="",G152=""),"",IF(F152=G152,1,0))</f>
        <v>1</v>
      </c>
      <c r="J152" s="8" t="s">
        <v>614</v>
      </c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9" t="str">
        <f>=样本清单!A153</f>
        <v>M6_P2_08</v>
      </c>
      <c r="B153" s="9" t="str">
        <f>=样本清单!B153</f>
        <v>M6</v>
      </c>
      <c r="C153" s="9" t="str">
        <f>=样本清单!C153</f>
        <v>HunyuanImage-3.0</v>
      </c>
      <c r="D153" s="9" t="str">
        <f>=样本清单!D153</f>
        <v>P2</v>
      </c>
      <c r="E153" s="9">
        <f>=样本清单!F153</f>
        <v>8</v>
      </c>
      <c r="F153" s="9">
        <f t="array" ref="F153">=IF($A153="","",INDEX(编码员A!$F:$F,MATCH($A153,编码员A!$A:$A,0)))</f>
        <v>2</v>
      </c>
      <c r="G153" s="9">
        <f t="array" ref="G153">=IF($A153="","",INDEX(编码员B!$F:$F,MATCH($A153,编码员B!$A:$A,0)))</f>
        <v>2</v>
      </c>
      <c r="H153" s="8">
        <v>2</v>
      </c>
      <c r="I153" s="9">
        <f>=IF(OR(F153="",G153=""),"",IF(F153=G153,1,0))</f>
        <v>1</v>
      </c>
      <c r="J153" s="8" t="s">
        <v>614</v>
      </c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9" t="str">
        <f>=样本清单!A154</f>
        <v>M6_P2_09</v>
      </c>
      <c r="B154" s="9" t="str">
        <f>=样本清单!B154</f>
        <v>M6</v>
      </c>
      <c r="C154" s="9" t="str">
        <f>=样本清单!C154</f>
        <v>HunyuanImage-3.0</v>
      </c>
      <c r="D154" s="9" t="str">
        <f>=样本清单!D154</f>
        <v>P2</v>
      </c>
      <c r="E154" s="9">
        <f>=样本清单!F154</f>
        <v>9</v>
      </c>
      <c r="F154" s="9">
        <f t="array" ref="F154">=IF($A154="","",INDEX(编码员A!$F:$F,MATCH($A154,编码员A!$A:$A,0)))</f>
        <v>1</v>
      </c>
      <c r="G154" s="9">
        <f t="array" ref="G154">=IF($A154="","",INDEX(编码员B!$F:$F,MATCH($A154,编码员B!$A:$A,0)))</f>
        <v>2</v>
      </c>
      <c r="H154" s="8">
        <v>1.5</v>
      </c>
      <c r="I154" s="9">
        <f>=IF(OR(F154="",G154=""),"",IF(F154=G154,1,0))</f>
        <v>0</v>
      </c>
      <c r="J154" s="8" t="s">
        <v>613</v>
      </c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9" t="str">
        <f>=样本清单!A155</f>
        <v>M6_P3_01</v>
      </c>
      <c r="B155" s="9" t="str">
        <f>=样本清单!B155</f>
        <v>M6</v>
      </c>
      <c r="C155" s="9" t="str">
        <f>=样本清单!C155</f>
        <v>HunyuanImage-3.0</v>
      </c>
      <c r="D155" s="9" t="str">
        <f>=样本清单!D155</f>
        <v>P3</v>
      </c>
      <c r="E155" s="9">
        <f>=样本清单!F155</f>
        <v>1</v>
      </c>
      <c r="F155" s="9">
        <f t="array" ref="F155">=IF($A155="","",INDEX(编码员A!$F:$F,MATCH($A155,编码员A!$A:$A,0)))</f>
        <v>2</v>
      </c>
      <c r="G155" s="9">
        <f t="array" ref="G155">=IF($A155="","",INDEX(编码员B!$F:$F,MATCH($A155,编码员B!$A:$A,0)))</f>
        <v>2</v>
      </c>
      <c r="H155" s="8">
        <v>2</v>
      </c>
      <c r="I155" s="9">
        <f>=IF(OR(F155="",G155=""),"",IF(F155=G155,1,0))</f>
        <v>1</v>
      </c>
      <c r="J155" s="8" t="s">
        <v>614</v>
      </c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9" t="str">
        <f>=样本清单!A156</f>
        <v>M6_P3_02</v>
      </c>
      <c r="B156" s="9" t="str">
        <f>=样本清单!B156</f>
        <v>M6</v>
      </c>
      <c r="C156" s="9" t="str">
        <f>=样本清单!C156</f>
        <v>HunyuanImage-3.0</v>
      </c>
      <c r="D156" s="9" t="str">
        <f>=样本清单!D156</f>
        <v>P3</v>
      </c>
      <c r="E156" s="9">
        <f>=样本清单!F156</f>
        <v>2</v>
      </c>
      <c r="F156" s="9">
        <f t="array" ref="F156">=IF($A156="","",INDEX(编码员A!$F:$F,MATCH($A156,编码员A!$A:$A,0)))</f>
        <v>2</v>
      </c>
      <c r="G156" s="9">
        <f t="array" ref="G156">=IF($A156="","",INDEX(编码员B!$F:$F,MATCH($A156,编码员B!$A:$A,0)))</f>
        <v>2</v>
      </c>
      <c r="H156" s="8">
        <v>2</v>
      </c>
      <c r="I156" s="9">
        <f>=IF(OR(F156="",G156=""),"",IF(F156=G156,1,0))</f>
        <v>1</v>
      </c>
      <c r="J156" s="8" t="s">
        <v>614</v>
      </c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9" t="str">
        <f>=样本清单!A157</f>
        <v>M6_P3_03</v>
      </c>
      <c r="B157" s="9" t="str">
        <f>=样本清单!B157</f>
        <v>M6</v>
      </c>
      <c r="C157" s="9" t="str">
        <f>=样本清单!C157</f>
        <v>HunyuanImage-3.0</v>
      </c>
      <c r="D157" s="9" t="str">
        <f>=样本清单!D157</f>
        <v>P3</v>
      </c>
      <c r="E157" s="9">
        <f>=样本清单!F157</f>
        <v>3</v>
      </c>
      <c r="F157" s="9">
        <f t="array" ref="F157">=IF($A157="","",INDEX(编码员A!$F:$F,MATCH($A157,编码员A!$A:$A,0)))</f>
        <v>1</v>
      </c>
      <c r="G157" s="9">
        <f t="array" ref="G157">=IF($A157="","",INDEX(编码员B!$F:$F,MATCH($A157,编码员B!$A:$A,0)))</f>
        <v>1</v>
      </c>
      <c r="H157" s="8">
        <v>1</v>
      </c>
      <c r="I157" s="9">
        <f>=IF(OR(F157="",G157=""),"",IF(F157=G157,1,0))</f>
        <v>1</v>
      </c>
      <c r="J157" s="8" t="s">
        <v>614</v>
      </c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9" t="str">
        <f>=样本清单!A158</f>
        <v>M6_P3_04</v>
      </c>
      <c r="B158" s="9" t="str">
        <f>=样本清单!B158</f>
        <v>M6</v>
      </c>
      <c r="C158" s="9" t="str">
        <f>=样本清单!C158</f>
        <v>HunyuanImage-3.0</v>
      </c>
      <c r="D158" s="9" t="str">
        <f>=样本清单!D158</f>
        <v>P3</v>
      </c>
      <c r="E158" s="9">
        <f>=样本清单!F158</f>
        <v>4</v>
      </c>
      <c r="F158" s="9">
        <f t="array" ref="F158">=IF($A158="","",INDEX(编码员A!$F:$F,MATCH($A158,编码员A!$A:$A,0)))</f>
        <v>2</v>
      </c>
      <c r="G158" s="9">
        <f t="array" ref="G158">=IF($A158="","",INDEX(编码员B!$F:$F,MATCH($A158,编码员B!$A:$A,0)))</f>
        <v>2</v>
      </c>
      <c r="H158" s="8">
        <v>2</v>
      </c>
      <c r="I158" s="9">
        <f>=IF(OR(F158="",G158=""),"",IF(F158=G158,1,0))</f>
        <v>1</v>
      </c>
      <c r="J158" s="8" t="s">
        <v>614</v>
      </c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9" t="str">
        <f>=样本清单!A159</f>
        <v>M6_P3_05</v>
      </c>
      <c r="B159" s="9" t="str">
        <f>=样本清单!B159</f>
        <v>M6</v>
      </c>
      <c r="C159" s="9" t="str">
        <f>=样本清单!C159</f>
        <v>HunyuanImage-3.0</v>
      </c>
      <c r="D159" s="9" t="str">
        <f>=样本清单!D159</f>
        <v>P3</v>
      </c>
      <c r="E159" s="9">
        <f>=样本清单!F159</f>
        <v>5</v>
      </c>
      <c r="F159" s="9">
        <f t="array" ref="F159">=IF($A159="","",INDEX(编码员A!$F:$F,MATCH($A159,编码员A!$A:$A,0)))</f>
        <v>2</v>
      </c>
      <c r="G159" s="9">
        <f t="array" ref="G159">=IF($A159="","",INDEX(编码员B!$F:$F,MATCH($A159,编码员B!$A:$A,0)))</f>
        <v>2</v>
      </c>
      <c r="H159" s="8">
        <v>2</v>
      </c>
      <c r="I159" s="9">
        <f>=IF(OR(F159="",G159=""),"",IF(F159=G159,1,0))</f>
        <v>1</v>
      </c>
      <c r="J159" s="8" t="s">
        <v>614</v>
      </c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9" t="str">
        <f>=样本清单!A160</f>
        <v>M6_P3_06</v>
      </c>
      <c r="B160" s="9" t="str">
        <f>=样本清单!B160</f>
        <v>M6</v>
      </c>
      <c r="C160" s="9" t="str">
        <f>=样本清单!C160</f>
        <v>HunyuanImage-3.0</v>
      </c>
      <c r="D160" s="9" t="str">
        <f>=样本清单!D160</f>
        <v>P3</v>
      </c>
      <c r="E160" s="9">
        <f>=样本清单!F160</f>
        <v>6</v>
      </c>
      <c r="F160" s="9">
        <f t="array" ref="F160">=IF($A160="","",INDEX(编码员A!$F:$F,MATCH($A160,编码员A!$A:$A,0)))</f>
        <v>2</v>
      </c>
      <c r="G160" s="9">
        <f t="array" ref="G160">=IF($A160="","",INDEX(编码员B!$F:$F,MATCH($A160,编码员B!$A:$A,0)))</f>
        <v>2</v>
      </c>
      <c r="H160" s="8">
        <v>2</v>
      </c>
      <c r="I160" s="9">
        <f>=IF(OR(F160="",G160=""),"",IF(F160=G160,1,0))</f>
        <v>1</v>
      </c>
      <c r="J160" s="8" t="s">
        <v>614</v>
      </c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9" t="str">
        <f>=样本清单!A161</f>
        <v>M6_P3_07</v>
      </c>
      <c r="B161" s="9" t="str">
        <f>=样本清单!B161</f>
        <v>M6</v>
      </c>
      <c r="C161" s="9" t="str">
        <f>=样本清单!C161</f>
        <v>HunyuanImage-3.0</v>
      </c>
      <c r="D161" s="9" t="str">
        <f>=样本清单!D161</f>
        <v>P3</v>
      </c>
      <c r="E161" s="9">
        <f>=样本清单!F161</f>
        <v>7</v>
      </c>
      <c r="F161" s="9">
        <f t="array" ref="F161">=IF($A161="","",INDEX(编码员A!$F:$F,MATCH($A161,编码员A!$A:$A,0)))</f>
        <v>2</v>
      </c>
      <c r="G161" s="9">
        <f t="array" ref="G161">=IF($A161="","",INDEX(编码员B!$F:$F,MATCH($A161,编码员B!$A:$A,0)))</f>
        <v>2</v>
      </c>
      <c r="H161" s="8">
        <v>2</v>
      </c>
      <c r="I161" s="9">
        <f>=IF(OR(F161="",G161=""),"",IF(F161=G161,1,0))</f>
        <v>1</v>
      </c>
      <c r="J161" s="8" t="s">
        <v>614</v>
      </c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9" t="str">
        <f>=样本清单!A162</f>
        <v>M6_P3_08</v>
      </c>
      <c r="B162" s="9" t="str">
        <f>=样本清单!B162</f>
        <v>M6</v>
      </c>
      <c r="C162" s="9" t="str">
        <f>=样本清单!C162</f>
        <v>HunyuanImage-3.0</v>
      </c>
      <c r="D162" s="9" t="str">
        <f>=样本清单!D162</f>
        <v>P3</v>
      </c>
      <c r="E162" s="9">
        <f>=样本清单!F162</f>
        <v>8</v>
      </c>
      <c r="F162" s="9">
        <f t="array" ref="F162">=IF($A162="","",INDEX(编码员A!$F:$F,MATCH($A162,编码员A!$A:$A,0)))</f>
        <v>2</v>
      </c>
      <c r="G162" s="9">
        <f t="array" ref="G162">=IF($A162="","",INDEX(编码员B!$F:$F,MATCH($A162,编码员B!$A:$A,0)))</f>
        <v>2</v>
      </c>
      <c r="H162" s="8">
        <v>2</v>
      </c>
      <c r="I162" s="9">
        <f>=IF(OR(F162="",G162=""),"",IF(F162=G162,1,0))</f>
        <v>1</v>
      </c>
      <c r="J162" s="8" t="s">
        <v>614</v>
      </c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9" t="str">
        <f>=样本清单!A163</f>
        <v>M6_P3_09</v>
      </c>
      <c r="B163" s="9" t="str">
        <f>=样本清单!B163</f>
        <v>M6</v>
      </c>
      <c r="C163" s="9" t="str">
        <f>=样本清单!C163</f>
        <v>HunyuanImage-3.0</v>
      </c>
      <c r="D163" s="9" t="str">
        <f>=样本清单!D163</f>
        <v>P3</v>
      </c>
      <c r="E163" s="9">
        <f>=样本清单!F163</f>
        <v>9</v>
      </c>
      <c r="F163" s="9">
        <f t="array" ref="F163">=IF($A163="","",INDEX(编码员A!$F:$F,MATCH($A163,编码员A!$A:$A,0)))</f>
        <v>2</v>
      </c>
      <c r="G163" s="9">
        <f t="array" ref="G163">=IF($A163="","",INDEX(编码员B!$F:$F,MATCH($A163,编码员B!$A:$A,0)))</f>
        <v>2</v>
      </c>
      <c r="H163" s="8">
        <v>2</v>
      </c>
      <c r="I163" s="9">
        <f>=IF(OR(F163="",G163=""),"",IF(F163=G163,1,0))</f>
        <v>1</v>
      </c>
      <c r="J163" s="8" t="s">
        <v>614</v>
      </c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</sheetData>
  <dataValidations>
    <dataValidation type="list" operator="between" allowBlank="0" showDropDown="0" showInputMessage="0" showErrorMessage="0" sqref="H2:H163">
      <formula1>"0,1,2"</formula1>
    </dataValidation>
  </dataValidation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Z200"/>
  <sheetViews>
    <sheetView showGridLines="1" workbookViewId="0"/>
  </sheetViews>
  <sheetFormatPr baseColWidth="8" defaultRowHeight="13.8"/>
  <cols>
    <col min="1" max="1" width="30" customWidth="1"/>
    <col min="2" max="4" width="14" customWidth="1"/>
    <col min="5" max="5" width="22" customWidth="1"/>
    <col min="6" max="6" width="28" customWidth="1"/>
    <col min="7" max="10" width="14" customWidth="1"/>
  </cols>
  <sheetData>
    <row r="1" spans="1:26" ht="17.4" customHeight="1">
      <c r="A1" s="10" t="s">
        <v>615</v>
      </c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7" t="s">
        <v>268</v>
      </c>
      <c r="B3" s="7" t="s">
        <v>616</v>
      </c>
      <c r="C3" s="7" t="s">
        <v>617</v>
      </c>
      <c r="D3" s="7" t="s">
        <v>618</v>
      </c>
      <c r="E3" s="7" t="s">
        <v>619</v>
      </c>
      <c r="F3" s="7" t="s">
        <v>620</v>
      </c>
      <c r="G3" s="7" t="s">
        <v>621</v>
      </c>
      <c r="H3" s="7" t="s">
        <v>622</v>
      </c>
      <c r="I3" s="7" t="s">
        <v>623</v>
      </c>
      <c r="J3" s="7" t="s">
        <v>624</v>
      </c>
      <c r="K3" s="5" t="s">
        <v>625</v>
      </c>
      <c r="L3" s="5" t="s">
        <v>626</v>
      </c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5" t="s">
        <v>277</v>
      </c>
      <c r="B4" s="5" t="s">
        <v>278</v>
      </c>
      <c r="C4" s="9">
        <f>=COUNTIFS(共识效标Y!$D$2:$D$163,$A4,共识效标Y!$H$2:$H$163,0)</f>
        <v>3</v>
      </c>
      <c r="D4" s="9">
        <f>=COUNTIFS(共识效标Y!$D$2:$D$163,$A4,共识效标Y!$H$2:$H$163,0.5)</f>
        <v>9</v>
      </c>
      <c r="E4" s="9">
        <f>=COUNTIFS(共识效标Y!$D$2:$D$163,$A4,共识效标Y!$H$2:$H$163,1)</f>
        <v>10</v>
      </c>
      <c r="F4" s="9">
        <f>=COUNTIFS(共识效标Y!$D$2:$D$163,$A4,共识效标Y!$H$2:$H$163,1.5)</f>
        <v>12</v>
      </c>
      <c r="G4" s="11">
        <f>=COUNTIFS(共识效标Y!$D$2:$D$163,$A4,共识效标Y!$H$2:$H$163,2)</f>
        <v>20</v>
      </c>
      <c r="H4" s="12">
        <f>=SUM(C4:G4)</f>
        <v>54</v>
      </c>
      <c r="I4" s="13">
        <f>=IF(H4=0,"",G4/H4)</f>
        <v>0.37037037037037</v>
      </c>
      <c r="J4" s="13">
        <f>=IF(H4=0,"",(0.5*D4+E4+1.5*F4+2*G4)/H4)</f>
        <v>1.34259259259259</v>
      </c>
      <c r="K4" s="5">
        <v>1.1711</v>
      </c>
      <c r="L4" s="5">
        <v>1.5141</v>
      </c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5" t="s">
        <v>297</v>
      </c>
      <c r="B5" s="5" t="s">
        <v>298</v>
      </c>
      <c r="C5" s="9">
        <f>=COUNTIFS(共识效标Y!$D$2:$D$163,$A5,共识效标Y!$H$2:$H$163,0)</f>
        <v>0</v>
      </c>
      <c r="D5" s="9">
        <f>=COUNTIFS(共识效标Y!$D$2:$D$163,$A5,共识效标Y!$H$2:$H$163,0.5)</f>
        <v>0</v>
      </c>
      <c r="E5" s="9">
        <f>=COUNTIFS(共识效标Y!$D$2:$D$163,$A5,共识效标Y!$H$2:$H$163,1)</f>
        <v>21</v>
      </c>
      <c r="F5" s="9">
        <f>=COUNTIFS(共识效标Y!$D$2:$D$163,$A5,共识效标Y!$H$2:$H$163,1.5)</f>
        <v>17</v>
      </c>
      <c r="G5" s="11">
        <f>=COUNTIFS(共识效标Y!$D$2:$D$163,$A5,共识效标Y!$H$2:$H$163,2)</f>
        <v>16</v>
      </c>
      <c r="H5" s="12">
        <f>=SUM(C5:G5)</f>
        <v>54</v>
      </c>
      <c r="I5" s="13">
        <f>=IF(H5=0,"",G5/H5)</f>
        <v>0.296296296296296</v>
      </c>
      <c r="J5" s="13">
        <f>=IF(H5=0,"",(0.5*D5+E5+1.5*F5+2*G5)/H5)</f>
        <v>1.4537037037037</v>
      </c>
      <c r="K5" s="5">
        <v>1.343</v>
      </c>
      <c r="L5" s="5">
        <v>1.5644</v>
      </c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5" t="s">
        <v>317</v>
      </c>
      <c r="B6" s="5" t="s">
        <v>318</v>
      </c>
      <c r="C6" s="9">
        <f>=COUNTIFS(共识效标Y!$D$2:$D$163,$A6,共识效标Y!$H$2:$H$163,0)</f>
        <v>0</v>
      </c>
      <c r="D6" s="9">
        <f>=COUNTIFS(共识效标Y!$D$2:$D$163,$A6,共识效标Y!$H$2:$H$163,0.5)</f>
        <v>1</v>
      </c>
      <c r="E6" s="9">
        <f>=COUNTIFS(共识效标Y!$D$2:$D$163,$A6,共识效标Y!$H$2:$H$163,1)</f>
        <v>14</v>
      </c>
      <c r="F6" s="9">
        <f>=COUNTIFS(共识效标Y!$D$2:$D$163,$A6,共识效标Y!$H$2:$H$163,1.5)</f>
        <v>13</v>
      </c>
      <c r="G6" s="11">
        <f>=COUNTIFS(共识效标Y!$D$2:$D$163,$A6,共识效标Y!$H$2:$H$163,2)</f>
        <v>26</v>
      </c>
      <c r="H6" s="12">
        <f>=SUM(C6:G6)</f>
        <v>54</v>
      </c>
      <c r="I6" s="13">
        <f>=IF(H6=0,"",G6/H6)</f>
        <v>0.481481481481482</v>
      </c>
      <c r="J6" s="13">
        <f>=IF(H6=0,"",(0.5*D6+E6+1.5*F6+2*G6)/H6)</f>
        <v>1.59259259259259</v>
      </c>
      <c r="K6" s="5">
        <v>1.4737</v>
      </c>
      <c r="L6" s="5">
        <v>1.7115</v>
      </c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7" t="s">
        <v>627</v>
      </c>
      <c r="B9" s="7" t="s">
        <v>277</v>
      </c>
      <c r="C9" s="7" t="s">
        <v>297</v>
      </c>
      <c r="D9" s="7" t="s">
        <v>317</v>
      </c>
      <c r="E9" s="7" t="s">
        <v>628</v>
      </c>
      <c r="F9" s="7" t="s">
        <v>317</v>
      </c>
      <c r="G9" s="5" t="s">
        <v>628</v>
      </c>
      <c r="H9" s="5" t="s">
        <v>629</v>
      </c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5" t="s">
        <v>630</v>
      </c>
      <c r="B10" s="8">
        <v>1.528</v>
      </c>
      <c r="C10" s="8">
        <v>1.593</v>
      </c>
      <c r="D10" s="8">
        <v>1.852</v>
      </c>
      <c r="E10" s="5" t="s">
        <v>631</v>
      </c>
      <c r="F10" s="5" t="s">
        <v>632</v>
      </c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5" t="s">
        <v>633</v>
      </c>
      <c r="B11" s="8">
        <v>1.253</v>
      </c>
      <c r="C11" s="8">
        <v>1.527</v>
      </c>
      <c r="D11" s="8">
        <v>1.586</v>
      </c>
      <c r="E11" s="5" t="s">
        <v>631</v>
      </c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5" t="s">
        <v>634</v>
      </c>
      <c r="B12" s="8">
        <v>0.364</v>
      </c>
      <c r="C12" s="8">
        <v>0.377</v>
      </c>
      <c r="D12" s="8">
        <v>0.593</v>
      </c>
      <c r="E12" s="5" t="s">
        <v>631</v>
      </c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5" t="s">
        <v>635</v>
      </c>
      <c r="B13" s="8">
        <v>1.201</v>
      </c>
      <c r="C13" s="8">
        <v>1.442</v>
      </c>
      <c r="D13" s="8">
        <v>1.544</v>
      </c>
      <c r="E13" s="5" t="s">
        <v>631</v>
      </c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5" t="s">
        <v>636</v>
      </c>
      <c r="B14" s="8">
        <v>1.481</v>
      </c>
      <c r="C14" s="8">
        <v>1.528</v>
      </c>
      <c r="D14" s="8">
        <v>1.667</v>
      </c>
      <c r="E14" s="5" t="s">
        <v>631</v>
      </c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5" t="s">
        <v>275</v>
      </c>
      <c r="B15" s="5" t="s"/>
      <c r="C15" s="5" t="s"/>
      <c r="D15" s="5" t="s"/>
      <c r="E15" s="5" t="s"/>
      <c r="F15" s="5" t="s">
        <v>637</v>
      </c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5" t="s">
        <v>638</v>
      </c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mergeCells count="1">
    <mergeCell ref="A1:J1"/>
  </mergeCells>
  <pageMargins left="0.7" right="0.7" top="0.75" bottom="0.75" header="0.3" footer="0.3"/>
  <drawing r:id="rId0"/>
</worksheet>
</file>

<file path=xl/worksheets/sheet7.xml><?xml version="1.0" encoding="utf-8"?>
<worksheet xmlns="http://schemas.openxmlformats.org/spreadsheetml/2006/main" xmlns:x14="http://schemas.microsoft.com/office/spreadsheetml/2009/9/main" xmlns:xm="http://schemas.microsoft.com/office/excel/2006/main">
  <sheetPr>
    <outlinePr summaryBelow="1" summaryRight="1"/>
    <pageSetUpPr/>
  </sheetPr>
  <dimension ref="Z200"/>
  <sheetViews>
    <sheetView showGridLines="1" workbookViewId="0"/>
  </sheetViews>
  <sheetFormatPr baseColWidth="8" defaultRowHeight="13.8"/>
  <cols>
    <col min="1" max="1" width="8" customWidth="1"/>
    <col min="2" max="2" width="24" customWidth="1"/>
    <col min="3" max="3" width="19" customWidth="1"/>
    <col min="4" max="9" width="11" customWidth="1"/>
    <col min="10" max="12" width="12" customWidth="1"/>
  </cols>
  <sheetData>
    <row r="1" spans="1:26">
      <c r="A1" s="7" t="s">
        <v>217</v>
      </c>
      <c r="B1" s="7" t="s">
        <v>218</v>
      </c>
      <c r="C1" s="7" t="s">
        <v>639</v>
      </c>
      <c r="D1" s="7" t="s">
        <v>640</v>
      </c>
      <c r="E1" s="7" t="s">
        <v>641</v>
      </c>
      <c r="F1" s="7" t="s">
        <v>642</v>
      </c>
      <c r="G1" s="7" t="s">
        <v>643</v>
      </c>
      <c r="H1" s="7" t="s">
        <v>644</v>
      </c>
      <c r="I1" s="7" t="s">
        <v>645</v>
      </c>
      <c r="J1" s="7" t="s">
        <v>646</v>
      </c>
      <c r="K1" s="7" t="s">
        <v>647</v>
      </c>
      <c r="L1" s="7" t="s">
        <v>648</v>
      </c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5" t="s">
        <v>221</v>
      </c>
      <c r="B2" s="5" t="s">
        <v>222</v>
      </c>
      <c r="C2" s="13">
        <v>0.273</v>
      </c>
      <c r="D2" s="8">
        <v>0</v>
      </c>
      <c r="E2" s="8">
        <v>0</v>
      </c>
      <c r="F2" s="8">
        <v>0</v>
      </c>
      <c r="G2" s="8">
        <v>1</v>
      </c>
      <c r="H2" s="8">
        <v>0</v>
      </c>
      <c r="I2" s="8">
        <v>1</v>
      </c>
      <c r="J2" s="9">
        <f>=SUM(D2:I2)</f>
        <v>2</v>
      </c>
      <c r="K2" s="9" t="str">
        <f>=IF(C2="","",IF(C2&gt;=0.6,"是","否"))</f>
        <v>否</v>
      </c>
      <c r="L2" s="9" t="str">
        <f>=IF(OR(C2="",J2=""),"",IF(AND(C2&gt;=0.6,J2&gt;=5),"是","否"))</f>
        <v>否</v>
      </c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5" t="s">
        <v>225</v>
      </c>
      <c r="B3" s="5" t="s">
        <v>226</v>
      </c>
      <c r="C3" s="13">
        <v>0.732</v>
      </c>
      <c r="D3" s="8">
        <v>0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9">
        <f>=SUM(D3:I3)</f>
        <v>5</v>
      </c>
      <c r="K3" s="9" t="str">
        <f>=IF(C3="","",IF(C3&gt;=0.6,"是","否"))</f>
        <v>是</v>
      </c>
      <c r="L3" s="9" t="str">
        <f>=IF(OR(C3="",J3=""),"",IF(AND(C3&gt;=0.6,J3&gt;=5),"是","否"))</f>
        <v>是</v>
      </c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5" t="s">
        <v>229</v>
      </c>
      <c r="B4" s="5" t="s">
        <v>230</v>
      </c>
      <c r="C4" s="13">
        <v>0.308</v>
      </c>
      <c r="D4" s="8">
        <v>0</v>
      </c>
      <c r="E4" s="8">
        <v>0</v>
      </c>
      <c r="F4" s="8">
        <v>0</v>
      </c>
      <c r="G4" s="8">
        <v>0</v>
      </c>
      <c r="H4" s="8">
        <v>1</v>
      </c>
      <c r="I4" s="8">
        <v>0</v>
      </c>
      <c r="J4" s="9">
        <f>=SUM(D4:I4)</f>
        <v>1</v>
      </c>
      <c r="K4" s="9" t="str">
        <f>=IF(C4="","",IF(C4&gt;=0.6,"是","否"))</f>
        <v>否</v>
      </c>
      <c r="L4" s="9" t="str">
        <f>=IF(OR(C4="",J4=""),"",IF(AND(C4&gt;=0.6,J4&gt;=5),"是","否"))</f>
        <v>否</v>
      </c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5" t="s">
        <v>233</v>
      </c>
      <c r="B5" s="5" t="s">
        <v>234</v>
      </c>
      <c r="C5" s="13">
        <v>0.112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9">
        <f>=SUM(D5:I5)</f>
        <v>0</v>
      </c>
      <c r="K5" s="9" t="str">
        <f>=IF(C5="","",IF(C5&gt;=0.6,"是","否"))</f>
        <v>否</v>
      </c>
      <c r="L5" s="9" t="str">
        <f>=IF(OR(C5="",J5=""),"",IF(AND(C5&gt;=0.6,J5&gt;=5),"是","否"))</f>
        <v>否</v>
      </c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5" t="s">
        <v>237</v>
      </c>
      <c r="B6" s="5" t="s">
        <v>238</v>
      </c>
      <c r="C6" s="13">
        <v>0.178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f>=SUM(D6:I6)</f>
        <v>1</v>
      </c>
      <c r="K6" s="9" t="str">
        <f>=IF(C6="","",IF(C6&gt;=0.6,"是","否"))</f>
        <v>否</v>
      </c>
      <c r="L6" s="9" t="str">
        <f>=IF(OR(C6="",J6=""),"",IF(AND(C6&gt;=0.6,J6&gt;=5),"是","否"))</f>
        <v>否</v>
      </c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5" t="s">
        <v>241</v>
      </c>
      <c r="B7" s="5" t="s">
        <v>242</v>
      </c>
      <c r="C7" s="13">
        <v>0.208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9">
        <f>=SUM(D7:I7)</f>
        <v>1</v>
      </c>
      <c r="K7" s="9" t="str">
        <f>=IF(C7="","",IF(C7&gt;=0.6,"是","否"))</f>
        <v>否</v>
      </c>
      <c r="L7" s="9" t="str">
        <f>=IF(OR(C7="",J7=""),"",IF(AND(C7&gt;=0.6,J7&gt;=5),"是","否"))</f>
        <v>否</v>
      </c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5" t="s">
        <v>243</v>
      </c>
      <c r="B8" s="5" t="s">
        <v>244</v>
      </c>
      <c r="C8" s="13">
        <v>0.01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f>=SUM(D8:I8)</f>
        <v>0</v>
      </c>
      <c r="K8" s="9" t="str">
        <f>=IF(C8="","",IF(C8&gt;=0.6,"是","否"))</f>
        <v>否</v>
      </c>
      <c r="L8" s="9" t="str">
        <f>=IF(OR(C8="",J8=""),"",IF(AND(C8&gt;=0.6,J8&gt;=5),"是","否"))</f>
        <v>否</v>
      </c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5" t="s">
        <v>245</v>
      </c>
      <c r="B9" s="5" t="s">
        <v>246</v>
      </c>
      <c r="C9" s="13">
        <v>0.141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9">
        <f>=SUM(D9:I9)</f>
        <v>0</v>
      </c>
      <c r="K9" s="9" t="str">
        <f>=IF(C9="","",IF(C9&gt;=0.6,"是","否"))</f>
        <v>否</v>
      </c>
      <c r="L9" s="9" t="str">
        <f>=IF(OR(C9="",J9=""),"",IF(AND(C9&gt;=0.6,J9&gt;=5),"是","否"))</f>
        <v>否</v>
      </c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5" t="s">
        <v>247</v>
      </c>
      <c r="B10" s="5" t="s">
        <v>248</v>
      </c>
      <c r="C10" s="13">
        <v>0.076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9">
        <f>=SUM(D10:I10)</f>
        <v>0</v>
      </c>
      <c r="K10" s="9" t="str">
        <f>=IF(C10="","",IF(C10&gt;=0.6,"是","否"))</f>
        <v>否</v>
      </c>
      <c r="L10" s="9" t="str">
        <f>=IF(OR(C10="",J10=""),"",IF(AND(C10&gt;=0.6,J10&gt;=5),"是","否"))</f>
        <v>否</v>
      </c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5" t="s">
        <v>249</v>
      </c>
      <c r="B11" s="5" t="s">
        <v>250</v>
      </c>
      <c r="C11" s="13">
        <v>0.092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>
        <f>=SUM(D11:I11)</f>
        <v>0</v>
      </c>
      <c r="K11" s="9" t="str">
        <f>=IF(C11="","",IF(C11&gt;=0.6,"是","否"))</f>
        <v>否</v>
      </c>
      <c r="L11" s="9" t="str">
        <f>=IF(OR(C11="",J11=""),"",IF(AND(C11&gt;=0.6,J11&gt;=5),"是","否"))</f>
        <v>否</v>
      </c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5" t="s">
        <v>251</v>
      </c>
      <c r="B12" s="5" t="s">
        <v>252</v>
      </c>
      <c r="C12" s="13">
        <v>0.203</v>
      </c>
      <c r="D12" s="8">
        <v>0</v>
      </c>
      <c r="E12" s="8">
        <v>0</v>
      </c>
      <c r="F12" s="8">
        <v>1</v>
      </c>
      <c r="G12" s="8">
        <v>0</v>
      </c>
      <c r="H12" s="8">
        <v>0</v>
      </c>
      <c r="I12" s="8">
        <v>0</v>
      </c>
      <c r="J12" s="9">
        <f>=SUM(D12:I12)</f>
        <v>1</v>
      </c>
      <c r="K12" s="9" t="str">
        <f>=IF(C12="","",IF(C12&gt;=0.6,"是","否"))</f>
        <v>否</v>
      </c>
      <c r="L12" s="9" t="str">
        <f>=IF(OR(C12="",J12=""),"",IF(AND(C12&gt;=0.6,J12&gt;=5),"是","否"))</f>
        <v>否</v>
      </c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5" t="s">
        <v>253</v>
      </c>
      <c r="B13" s="5" t="s">
        <v>254</v>
      </c>
      <c r="C13" s="13">
        <v>0.251</v>
      </c>
      <c r="D13" s="8">
        <v>0</v>
      </c>
      <c r="E13" s="8">
        <v>1</v>
      </c>
      <c r="F13" s="8">
        <v>0</v>
      </c>
      <c r="G13" s="8">
        <v>1</v>
      </c>
      <c r="H13" s="8">
        <v>0</v>
      </c>
      <c r="I13" s="8">
        <v>0</v>
      </c>
      <c r="J13" s="9">
        <f>=SUM(D13:I13)</f>
        <v>2</v>
      </c>
      <c r="K13" s="9" t="str">
        <f>=IF(C13="","",IF(C13&gt;=0.6,"是","否"))</f>
        <v>否</v>
      </c>
      <c r="L13" s="9" t="str">
        <f>=IF(OR(C13="",J13=""),"",IF(AND(C13&gt;=0.6,J13&gt;=5),"是","否"))</f>
        <v>否</v>
      </c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5" t="s">
        <v>255</v>
      </c>
      <c r="B14" s="5" t="s">
        <v>256</v>
      </c>
      <c r="C14" s="13">
        <v>0.081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9">
        <f>=SUM(D14:I14)</f>
        <v>0</v>
      </c>
      <c r="K14" s="9" t="str">
        <f>=IF(C14="","",IF(C14&gt;=0.6,"是","否"))</f>
        <v>否</v>
      </c>
      <c r="L14" s="9" t="str">
        <f>=IF(OR(C14="",J14=""),"",IF(AND(C14&gt;=0.6,J14&gt;=5),"是","否"))</f>
        <v>否</v>
      </c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5" t="s">
        <v>257</v>
      </c>
      <c r="B15" s="5" t="s">
        <v>258</v>
      </c>
      <c r="C15" s="13">
        <v>0.342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>
        <f>=SUM(D15:I15)</f>
        <v>0</v>
      </c>
      <c r="K15" s="9" t="str">
        <f>=IF(C15="","",IF(C15&gt;=0.6,"是","否"))</f>
        <v>否</v>
      </c>
      <c r="L15" s="9" t="str">
        <f>=IF(OR(C15="",J15=""),"",IF(AND(C15&gt;=0.6,J15&gt;=5),"是","否"))</f>
        <v>否</v>
      </c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5" t="s">
        <v>259</v>
      </c>
      <c r="B16" s="5" t="s">
        <v>260</v>
      </c>
      <c r="C16" s="13">
        <v>0.177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9">
        <f>=SUM(D16:I16)</f>
        <v>1</v>
      </c>
      <c r="K16" s="9" t="str">
        <f>=IF(C16="","",IF(C16&gt;=0.6,"是","否"))</f>
        <v>否</v>
      </c>
      <c r="L16" s="9" t="str">
        <f>=IF(OR(C16="",J16=""),"",IF(AND(C16&gt;=0.6,J16&gt;=5),"是","否"))</f>
        <v>否</v>
      </c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5" t="s">
        <v>261</v>
      </c>
      <c r="B17" s="5" t="s">
        <v>262</v>
      </c>
      <c r="C17" s="13">
        <v>0.539</v>
      </c>
      <c r="D17" s="8">
        <v>1</v>
      </c>
      <c r="E17" s="8">
        <v>0</v>
      </c>
      <c r="F17" s="8">
        <v>0</v>
      </c>
      <c r="G17" s="8">
        <v>1</v>
      </c>
      <c r="H17" s="8">
        <v>1</v>
      </c>
      <c r="I17" s="8">
        <v>1</v>
      </c>
      <c r="J17" s="9">
        <f>=SUM(D17:I17)</f>
        <v>4</v>
      </c>
      <c r="K17" s="9" t="str">
        <f>=IF(C17="","",IF(C17&gt;=0.6,"是","否"))</f>
        <v>否</v>
      </c>
      <c r="L17" s="9" t="str">
        <f>=IF(OR(C17="",J17=""),"",IF(AND(C17&gt;=0.6,J17&gt;=5),"是","否"))</f>
        <v>否</v>
      </c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5" t="s">
        <v>263</v>
      </c>
      <c r="B18" s="5" t="s">
        <v>264</v>
      </c>
      <c r="C18" s="13">
        <v>0.051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9">
        <f>=SUM(D18:I18)</f>
        <v>0</v>
      </c>
      <c r="K18" s="9" t="str">
        <f>=IF(C18="","",IF(C18&gt;=0.6,"是","否"))</f>
        <v>否</v>
      </c>
      <c r="L18" s="9" t="str">
        <f>=IF(OR(C18="",J18=""),"",IF(AND(C18&gt;=0.6,J18&gt;=5),"是","否"))</f>
        <v>否</v>
      </c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5" t="s">
        <v>265</v>
      </c>
      <c r="B19" s="5" t="s">
        <v>266</v>
      </c>
      <c r="C19" s="13">
        <v>0.995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9">
        <f>=SUM(D19:I19)</f>
        <v>6</v>
      </c>
      <c r="K19" s="9" t="str">
        <f>=IF(C19="","",IF(C19&gt;=0.6,"是","否"))</f>
        <v>是</v>
      </c>
      <c r="L19" s="9" t="str">
        <f>=IF(OR(C19="",J19=""),"",IF(AND(C19&gt;=0.6,J19&gt;=5),"是","否"))</f>
        <v>是</v>
      </c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5" t="s">
        <v>649</v>
      </c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conditionalFormatting sqref="C2:C19">
    <cfRule type="dataBar" priority="1">
      <dataBar>
        <cfvo type="min"/>
        <cfvo type="max"/>
        <color rgb="FF156082"/>
      </dataBar>
      <extLst>
        <ext uri="{B025F937-C7B1-47D3-B67F-A62EFF666E3E}">
          <x14:id>{FB9804F8-6A6B-404C-B8AF-B9E74E30FF90}</x14:id>
        </ext>
      </extLst>
    </cfRule>
  </conditionalFormatting>
  <conditionalFormatting sqref="L2:L19">
    <cfRule type="expression" dxfId="0" priority="2">
      <formula>L2="是"</formula>
    </cfRule>
  </conditionalFormatting>
  <conditionalFormatting sqref="C2:C19">
    <cfRule type="dataBar" priority="3">
      <dataBar>
        <cfvo type="min"/>
        <cfvo type="max"/>
        <color rgb="FF156082"/>
      </dataBar>
      <extLst>
        <ext uri="{B025F937-C7B1-47D3-B67F-A62EFF666E3E}">
          <x14:id>{E6592B23-A394-4F1C-833E-39BB72845D7A}</x14:id>
        </ext>
      </extLst>
    </cfRule>
  </conditionalFormatting>
  <dataValidations>
    <dataValidation type="list" operator="between" allowBlank="0" showDropDown="0" showInputMessage="0" showErrorMessage="0" sqref="D2:D19">
      <formula1>"1,0"</formula1>
    </dataValidation>
    <dataValidation type="list" operator="between" allowBlank="0" showDropDown="0" showInputMessage="0" showErrorMessage="0" sqref="E2:E19">
      <formula1>"1,0"</formula1>
    </dataValidation>
    <dataValidation type="list" operator="between" allowBlank="0" showDropDown="0" showInputMessage="0" showErrorMessage="0" sqref="F2:F19">
      <formula1>"1,0"</formula1>
    </dataValidation>
    <dataValidation type="list" operator="between" allowBlank="0" showDropDown="0" showInputMessage="0" showErrorMessage="0" sqref="G2:G19">
      <formula1>"1,0"</formula1>
    </dataValidation>
    <dataValidation type="list" operator="between" allowBlank="0" showDropDown="0" showInputMessage="0" showErrorMessage="0" sqref="H2:H19">
      <formula1>"1,0"</formula1>
    </dataValidation>
    <dataValidation type="list" operator="between" allowBlank="0" showDropDown="0" showInputMessage="0" showErrorMessage="0" sqref="I2:I19">
      <formula1>"1,0"</formula1>
    </dataValidation>
  </dataValidations>
  <pageMargins left="0.7" right="0.7" top="0.75" bottom="0.75" header="0.3" footer="0.3"/>
  <extLst>
    <ext uri="{78C0D931-6437-407d-A8EE-F0AAD7539E65}">
      <x14:conditionalFormattings>
        <x14:conditionalFormatting>
          <x14:cfRule type="dataBar" id="{FB9804F8-6A6B-404C-B8AF-B9E74E30FF90}">
            <x14:dataBar>
              <x14:cfvo type="min"/>
              <x14:cfvo type="max"/>
              <x14:negativeFillColor rgb="FFBED4FA"/>
            </x14:dataBar>
          </x14:cfRule>
          <xm:sqref>C2:C19</xm:sqref>
        </x14:conditionalFormatting>
        <x14:conditionalFormatting>
          <x14:cfRule type="dataBar" id="{E6592B23-A394-4F1C-833E-39BB72845D7A}">
            <x14:dataBar>
              <x14:cfvo type="min"/>
              <x14:cfvo type="max"/>
              <x14:negativeFillColor rgb="FFBED4FA"/>
            </x14:dataBar>
          </x14:cfRule>
          <xm:sqref>C2:C19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Y200"/>
  <sheetViews>
    <sheetView showGridLines="1" workbookViewId="0"/>
  </sheetViews>
  <sheetFormatPr baseColWidth="8" defaultRowHeight="13.8"/>
  <cols>
    <col min="1" max="1" width="29" customWidth="1"/>
    <col min="2" max="2" width="24" customWidth="1"/>
    <col min="3" max="3" width="13" customWidth="1"/>
    <col min="4" max="4" width="16" customWidth="1"/>
    <col min="5" max="5" width="12" customWidth="1"/>
    <col min="6" max="6" width="10" customWidth="1"/>
    <col min="7" max="9" width="14" customWidth="1"/>
    <col min="10" max="10" width="30" customWidth="1"/>
  </cols>
  <sheetData>
    <row r="1" spans="1:25" ht="17.4" customHeight="1">
      <c r="A1" s="10" t="s">
        <v>650</v>
      </c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</row>
    <row r="2" spans="1:25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</row>
    <row r="3" spans="1:25">
      <c r="A3" s="7" t="s">
        <v>651</v>
      </c>
      <c r="B3" s="7" t="s">
        <v>652</v>
      </c>
      <c r="C3" s="7" t="s">
        <v>653</v>
      </c>
      <c r="D3" s="7" t="s">
        <v>654</v>
      </c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</row>
    <row r="4" spans="1:25">
      <c r="A4" s="5" t="s">
        <v>655</v>
      </c>
      <c r="B4" s="8">
        <v>0.46</v>
      </c>
      <c r="C4" s="8">
        <v>0.346</v>
      </c>
      <c r="D4" s="8">
        <v>0.568</v>
      </c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</row>
    <row r="5" spans="1:25">
      <c r="A5" s="5" t="s">
        <v>629</v>
      </c>
      <c r="B5" s="5" t="s">
        <v>656</v>
      </c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</row>
    <row r="6" spans="1:25">
      <c r="A6" s="5" t="s">
        <v>657</v>
      </c>
      <c r="B6" s="5" t="s">
        <v>658</v>
      </c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</row>
    <row r="7" spans="1:25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</row>
    <row r="8" spans="1:25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</row>
    <row r="9" spans="1:25">
      <c r="A9" s="7" t="s">
        <v>659</v>
      </c>
      <c r="B9" s="7" t="s">
        <v>660</v>
      </c>
      <c r="C9" s="7" t="s">
        <v>661</v>
      </c>
      <c r="D9" s="7" t="s">
        <v>662</v>
      </c>
      <c r="E9" s="7" t="s">
        <v>622</v>
      </c>
      <c r="F9" s="7" t="s">
        <v>663</v>
      </c>
      <c r="G9" s="7" t="s">
        <v>653</v>
      </c>
      <c r="H9" s="7" t="s">
        <v>654</v>
      </c>
      <c r="I9" s="7" t="s">
        <v>275</v>
      </c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</row>
    <row r="10" spans="1:25">
      <c r="A10" s="5" t="s">
        <v>630</v>
      </c>
      <c r="B10" s="5" t="s">
        <v>225</v>
      </c>
      <c r="C10" s="8" t="s">
        <v>664</v>
      </c>
      <c r="D10" s="8" t="s">
        <v>665</v>
      </c>
      <c r="E10" s="8">
        <v>162</v>
      </c>
      <c r="F10" s="8">
        <v>0.579</v>
      </c>
      <c r="G10" s="8">
        <v>0.476</v>
      </c>
      <c r="H10" s="8">
        <v>0.676</v>
      </c>
      <c r="I10" s="8" t="s">
        <v>666</v>
      </c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</row>
    <row r="11" spans="1:25">
      <c r="A11" s="5" t="s">
        <v>633</v>
      </c>
      <c r="B11" s="5" t="s">
        <v>667</v>
      </c>
      <c r="C11" s="8" t="s">
        <v>668</v>
      </c>
      <c r="D11" s="8" t="s">
        <v>669</v>
      </c>
      <c r="E11" s="8">
        <v>162</v>
      </c>
      <c r="F11" s="8">
        <v>0.649</v>
      </c>
      <c r="G11" s="8">
        <v>0.61</v>
      </c>
      <c r="H11" s="8">
        <v>0.686</v>
      </c>
      <c r="I11" s="8" t="s">
        <v>670</v>
      </c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</row>
    <row r="12" spans="1:25">
      <c r="A12" s="5" t="s">
        <v>634</v>
      </c>
      <c r="B12" s="5" t="s">
        <v>667</v>
      </c>
      <c r="C12" s="8" t="s">
        <v>671</v>
      </c>
      <c r="D12" s="8" t="s">
        <v>672</v>
      </c>
      <c r="E12" s="8">
        <v>162</v>
      </c>
      <c r="F12" s="8">
        <v>0.788</v>
      </c>
      <c r="G12" s="8">
        <v>0.742</v>
      </c>
      <c r="H12" s="8">
        <v>0.831</v>
      </c>
      <c r="I12" s="8" t="s">
        <v>670</v>
      </c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</row>
    <row r="13" spans="1:25">
      <c r="A13" s="5" t="s">
        <v>635</v>
      </c>
      <c r="B13" s="5" t="s">
        <v>667</v>
      </c>
      <c r="C13" s="8" t="s">
        <v>673</v>
      </c>
      <c r="D13" s="8" t="s">
        <v>674</v>
      </c>
      <c r="E13" s="8">
        <v>162</v>
      </c>
      <c r="F13" s="8">
        <v>0.407</v>
      </c>
      <c r="G13" s="8">
        <v>0.35</v>
      </c>
      <c r="H13" s="8">
        <v>0.462</v>
      </c>
      <c r="I13" s="8" t="s">
        <v>670</v>
      </c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</row>
    <row r="14" spans="1:25">
      <c r="A14" s="5" t="s">
        <v>636</v>
      </c>
      <c r="B14" s="5" t="s">
        <v>265</v>
      </c>
      <c r="C14" s="8" t="s">
        <v>675</v>
      </c>
      <c r="D14" s="8" t="s">
        <v>676</v>
      </c>
      <c r="E14" s="8">
        <v>162</v>
      </c>
      <c r="F14" s="8">
        <v>0.535</v>
      </c>
      <c r="G14" s="8">
        <v>0.419</v>
      </c>
      <c r="H14" s="8">
        <v>0.64</v>
      </c>
      <c r="I14" s="8" t="s">
        <v>677</v>
      </c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</row>
    <row r="15" spans="1:25">
      <c r="A15" s="5" t="s">
        <v>678</v>
      </c>
      <c r="B15" s="5" t="s">
        <v>679</v>
      </c>
      <c r="C15" s="5" t="s">
        <v>679</v>
      </c>
      <c r="D15" s="5" t="s">
        <v>679</v>
      </c>
      <c r="E15" s="9">
        <v>162</v>
      </c>
      <c r="F15" s="8">
        <v>0.671</v>
      </c>
      <c r="G15" s="8">
        <v>0.65</v>
      </c>
      <c r="H15" s="8">
        <v>0.692</v>
      </c>
      <c r="I15" s="5" t="s">
        <v>680</v>
      </c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</row>
    <row r="16" spans="1:25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</row>
    <row r="17" spans="1:25">
      <c r="A17" s="5" t="s">
        <v>681</v>
      </c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</row>
    <row r="18" spans="1:25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</row>
    <row r="19" spans="1:25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</row>
    <row r="20" spans="1:25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</row>
    <row r="21" spans="1:25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</row>
    <row r="22" spans="1:25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</row>
    <row r="23" spans="1:25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</row>
    <row r="24" spans="1:25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</row>
    <row r="25" spans="1:25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</row>
    <row r="26" spans="1:25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</row>
    <row r="27" spans="1:25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</row>
    <row r="28" spans="1:25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</row>
    <row r="29" spans="1:25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</row>
    <row r="30" spans="1:25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</row>
    <row r="31" spans="1:25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</row>
    <row r="32" spans="1:25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</row>
    <row r="33" spans="1:25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</row>
    <row r="34" spans="1:25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</row>
    <row r="35" spans="1:25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</row>
    <row r="36" spans="1:25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</row>
    <row r="37" spans="1:25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</row>
    <row r="38" spans="1:25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</row>
    <row r="39" spans="1:25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</row>
    <row r="40" spans="1:25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</row>
    <row r="41" spans="1:25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</row>
    <row r="42" spans="1:25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</row>
    <row r="43" spans="1:25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</row>
    <row r="44" spans="1:25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</row>
    <row r="45" spans="1:25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</row>
    <row r="46" spans="1:25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</row>
    <row r="47" spans="1:25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</row>
    <row r="48" spans="1:25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</row>
    <row r="49" spans="1:25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</row>
    <row r="50" spans="1:25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</row>
    <row r="51" spans="1:25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</row>
    <row r="52" spans="1:25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</row>
    <row r="53" spans="1:25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</row>
    <row r="54" spans="1:25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</row>
    <row r="55" spans="1:25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</row>
    <row r="56" spans="1:25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</row>
    <row r="57" spans="1:25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</row>
    <row r="58" spans="1:25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</row>
    <row r="59" spans="1:25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</row>
    <row r="60" spans="1:25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</row>
    <row r="61" spans="1:25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</row>
    <row r="62" spans="1:25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</row>
    <row r="63" spans="1:25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</row>
    <row r="64" spans="1:25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</row>
    <row r="65" spans="1:25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</row>
    <row r="66" spans="1:25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</row>
    <row r="67" spans="1:25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</row>
    <row r="68" spans="1:25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</row>
    <row r="69" spans="1:25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</row>
    <row r="70" spans="1:25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</row>
    <row r="71" spans="1:25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</row>
    <row r="72" spans="1:25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</row>
    <row r="73" spans="1:25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</row>
    <row r="74" spans="1:25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</row>
    <row r="75" spans="1:25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</row>
    <row r="76" spans="1:25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</row>
    <row r="77" spans="1:25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</row>
    <row r="78" spans="1:25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</row>
    <row r="79" spans="1:25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</row>
    <row r="80" spans="1:25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</row>
    <row r="81" spans="1:25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</row>
    <row r="82" spans="1:25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</row>
    <row r="83" spans="1:25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</row>
    <row r="84" spans="1:25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</row>
    <row r="85" spans="1:25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</row>
    <row r="86" spans="1:25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</row>
    <row r="87" spans="1:25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</row>
    <row r="88" spans="1:25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</row>
    <row r="89" spans="1:25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</row>
    <row r="90" spans="1:25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</row>
    <row r="91" spans="1:25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</row>
    <row r="92" spans="1:25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</row>
    <row r="93" spans="1:25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</row>
    <row r="94" spans="1:25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</row>
    <row r="95" spans="1:25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</row>
    <row r="96" spans="1:25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</row>
    <row r="97" spans="1:25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</row>
    <row r="98" spans="1:25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</row>
    <row r="99" spans="1:25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</row>
    <row r="100" spans="1:25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</row>
    <row r="101" spans="1:25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</row>
    <row r="102" spans="1:25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</row>
    <row r="103" spans="1:25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</row>
    <row r="104" spans="1:25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</row>
    <row r="105" spans="1:25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</row>
    <row r="106" spans="1:25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</row>
    <row r="107" spans="1:25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</row>
    <row r="108" spans="1:25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</row>
    <row r="109" spans="1:25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</row>
    <row r="110" spans="1:25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</row>
    <row r="111" spans="1:25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</row>
    <row r="112" spans="1:25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</row>
    <row r="113" spans="1:25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</row>
    <row r="114" spans="1:25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</row>
    <row r="115" spans="1:25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</row>
    <row r="116" spans="1:25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</row>
    <row r="117" spans="1:25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</row>
    <row r="118" spans="1:25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</row>
    <row r="119" spans="1:25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</row>
    <row r="120" spans="1:25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</row>
    <row r="121" spans="1:25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</row>
    <row r="122" spans="1:25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</row>
    <row r="123" spans="1:25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</row>
    <row r="124" spans="1:25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</row>
    <row r="125" spans="1:25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</row>
    <row r="126" spans="1:25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</row>
    <row r="127" spans="1:25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</row>
    <row r="128" spans="1:25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</row>
    <row r="129" spans="1:25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</row>
    <row r="130" spans="1:25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</row>
    <row r="131" spans="1:25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</row>
    <row r="132" spans="1:25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</row>
    <row r="133" spans="1:25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</row>
    <row r="134" spans="1:25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</row>
    <row r="135" spans="1:25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</row>
    <row r="136" spans="1:25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</row>
    <row r="137" spans="1:25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</row>
    <row r="138" spans="1:25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</row>
    <row r="139" spans="1:25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</row>
    <row r="140" spans="1:25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</row>
    <row r="141" spans="1:25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</row>
    <row r="142" spans="1:25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</row>
    <row r="143" spans="1:25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</row>
    <row r="144" spans="1:25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</row>
    <row r="145" spans="1:25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</row>
    <row r="146" spans="1:25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</row>
    <row r="147" spans="1:25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</row>
    <row r="148" spans="1:25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</row>
    <row r="149" spans="1:25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</row>
    <row r="150" spans="1:25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</row>
    <row r="151" spans="1:25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</row>
    <row r="152" spans="1:25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</row>
    <row r="153" spans="1:25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</row>
    <row r="154" spans="1:25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</row>
    <row r="155" spans="1:25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</row>
    <row r="156" spans="1:25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</row>
    <row r="157" spans="1:25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</row>
    <row r="158" spans="1:25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</row>
    <row r="159" spans="1:25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</row>
    <row r="160" spans="1:25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</row>
    <row r="161" spans="1:25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</row>
    <row r="162" spans="1:25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</row>
    <row r="163" spans="1:25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</row>
    <row r="164" spans="1:25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</row>
    <row r="165" spans="1:25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</row>
    <row r="166" spans="1:25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</row>
    <row r="167" spans="1:25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</row>
    <row r="168" spans="1:25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</row>
    <row r="169" spans="1:25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</row>
    <row r="170" spans="1:25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</row>
    <row r="171" spans="1:25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</row>
    <row r="172" spans="1:25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</row>
    <row r="173" spans="1:25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</row>
    <row r="174" spans="1:25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</row>
    <row r="175" spans="1:25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</row>
    <row r="176" spans="1:25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</row>
    <row r="177" spans="1:25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</row>
    <row r="178" spans="1:25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</row>
    <row r="179" spans="1:25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</row>
    <row r="180" spans="1:25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</row>
    <row r="181" spans="1:25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</row>
    <row r="182" spans="1:25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</row>
    <row r="183" spans="1:25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</row>
    <row r="184" spans="1:25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</row>
    <row r="185" spans="1:25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</row>
    <row r="186" spans="1:25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</row>
    <row r="187" spans="1:25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</row>
    <row r="188" spans="1:25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</row>
    <row r="189" spans="1:25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</row>
    <row r="190" spans="1:25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</row>
    <row r="191" spans="1:25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</row>
    <row r="192" spans="1:25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</row>
    <row r="193" spans="1:25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</row>
    <row r="194" spans="1:25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</row>
    <row r="195" spans="1:25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</row>
    <row r="196" spans="1:25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</row>
    <row r="197" spans="1:25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</row>
    <row r="198" spans="1:25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</row>
    <row r="199" spans="1:25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</row>
    <row r="200" spans="1:25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Z200"/>
  <sheetViews>
    <sheetView showGridLines="1" workbookViewId="0"/>
  </sheetViews>
  <sheetFormatPr baseColWidth="8" defaultRowHeight="13.8"/>
  <cols>
    <col min="1" max="1" width="8" customWidth="1"/>
    <col min="2" max="2" width="28" customWidth="1"/>
    <col min="3" max="3" width="30" customWidth="1"/>
    <col min="4" max="4" width="24" customWidth="1"/>
    <col min="5" max="5" width="20" customWidth="1"/>
    <col min="6" max="6" width="10" customWidth="1"/>
    <col min="7" max="7" width="28" customWidth="1"/>
  </cols>
  <sheetData>
    <row r="1" spans="1:26">
      <c r="A1" s="7" t="s">
        <v>682</v>
      </c>
      <c r="B1" s="7" t="s">
        <v>683</v>
      </c>
      <c r="C1" s="7" t="s">
        <v>684</v>
      </c>
      <c r="D1" s="7" t="s">
        <v>685</v>
      </c>
      <c r="E1" s="7" t="s">
        <v>686</v>
      </c>
      <c r="F1" s="7" t="s">
        <v>687</v>
      </c>
      <c r="G1" s="7" t="s">
        <v>275</v>
      </c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5">
        <v>1</v>
      </c>
      <c r="B2" s="5" t="s">
        <v>688</v>
      </c>
      <c r="C2" s="5" t="s">
        <v>689</v>
      </c>
      <c r="D2" s="5" t="s">
        <v>181</v>
      </c>
      <c r="E2" s="14" t="str">
        <f t="array" ref="E2">=IF(COUNTIF(样本清单!I2:I163,"失败/拒绝")=0,"",COUNTIF(样本清单!I2:I163,"失败/拒绝"))</f>
        <v/>
      </c>
      <c r="F2" s="5" t="s">
        <v>691</v>
      </c>
      <c r="G2" s="5" t="s">
        <v>692</v>
      </c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5">
        <v>2</v>
      </c>
      <c r="B3" s="5" t="s">
        <v>693</v>
      </c>
      <c r="C3" s="5" t="s">
        <v>655</v>
      </c>
      <c r="D3" s="5" t="s">
        <v>694</v>
      </c>
      <c r="E3" s="14">
        <f>=IF(维度_Kappa!B4="","",维度_Kappa!B4)</f>
        <v>0.46</v>
      </c>
      <c r="F3" s="5" t="s">
        <v>695</v>
      </c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5">
        <v>3</v>
      </c>
      <c r="B4" s="5" t="s">
        <v>696</v>
      </c>
      <c r="C4" s="5" t="s">
        <v>653</v>
      </c>
      <c r="D4" s="5" t="s">
        <v>697</v>
      </c>
      <c r="E4" s="14">
        <f>=IF(维度_Kappa!C4="","",维度_Kappa!C4)</f>
        <v>0.346</v>
      </c>
      <c r="F4" s="5" t="s">
        <v>695</v>
      </c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5">
        <v>4</v>
      </c>
      <c r="B5" s="5" t="s">
        <v>698</v>
      </c>
      <c r="C5" s="5" t="s">
        <v>654</v>
      </c>
      <c r="D5" s="5" t="s">
        <v>699</v>
      </c>
      <c r="E5" s="14">
        <f>=IF(维度_Kappa!D4="","",维度_Kappa!D4)</f>
        <v>0.568</v>
      </c>
      <c r="F5" s="5" t="s">
        <v>695</v>
      </c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5">
        <v>5</v>
      </c>
      <c r="B6" s="5" t="s">
        <v>700</v>
      </c>
      <c r="C6" s="5" t="s">
        <v>701</v>
      </c>
      <c r="D6" s="5" t="s">
        <v>702</v>
      </c>
      <c r="E6" s="14">
        <f t="array" ref="E6">=IF(COUNTIF(稳定性_留一!L2:L19,"是")=0,"",COUNTIF(稳定性_留一!L2:L19,"是"))</f>
        <v>2</v>
      </c>
      <c r="F6" s="5" t="s">
        <v>691</v>
      </c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5">
        <v>6</v>
      </c>
      <c r="B7" s="5" t="s">
        <v>703</v>
      </c>
      <c r="C7" s="5" t="s">
        <v>704</v>
      </c>
      <c r="D7" s="5" t="s">
        <v>705</v>
      </c>
      <c r="E7" s="15" t="s">
        <v>706</v>
      </c>
      <c r="F7" s="5" t="s">
        <v>707</v>
      </c>
      <c r="G7" s="5" t="s">
        <v>708</v>
      </c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5">
        <v>7</v>
      </c>
      <c r="B8" s="5" t="s">
        <v>709</v>
      </c>
      <c r="C8" s="5" t="s">
        <v>710</v>
      </c>
      <c r="D8" s="5" t="s">
        <v>711</v>
      </c>
      <c r="E8" s="15">
        <v>2</v>
      </c>
      <c r="F8" s="5" t="s">
        <v>707</v>
      </c>
      <c r="G8" s="5" t="s">
        <v>712</v>
      </c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5">
        <v>8</v>
      </c>
      <c r="B9" s="5" t="s">
        <v>713</v>
      </c>
      <c r="C9" s="5" t="s">
        <v>714</v>
      </c>
      <c r="D9" s="5" t="s">
        <v>715</v>
      </c>
      <c r="E9" s="15">
        <v>3</v>
      </c>
      <c r="F9" s="5" t="s">
        <v>707</v>
      </c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5">
        <v>9</v>
      </c>
      <c r="B10" s="5" t="s">
        <v>716</v>
      </c>
      <c r="C10" s="5" t="s">
        <v>714</v>
      </c>
      <c r="D10" s="5" t="s">
        <v>715</v>
      </c>
      <c r="E10" s="15">
        <v>6</v>
      </c>
      <c r="F10" s="5" t="s">
        <v>707</v>
      </c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5">
        <v>10</v>
      </c>
      <c r="B11" s="5" t="s">
        <v>717</v>
      </c>
      <c r="C11" s="5" t="s">
        <v>718</v>
      </c>
      <c r="D11" s="5" t="s">
        <v>182</v>
      </c>
      <c r="E11" s="16">
        <f>=IF(提示条件汇总!I4="","",提示条件汇总!I4)</f>
        <v>0.37037037037037</v>
      </c>
      <c r="F11" s="5" t="s">
        <v>691</v>
      </c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5">
        <v>11</v>
      </c>
      <c r="B12" s="5" t="s">
        <v>720</v>
      </c>
      <c r="C12" s="5" t="s">
        <v>718</v>
      </c>
      <c r="D12" s="5" t="s">
        <v>183</v>
      </c>
      <c r="E12" s="16">
        <f>=IF(提示条件汇总!I5="","",提示条件汇总!I5)</f>
        <v>0.296296296296296</v>
      </c>
      <c r="F12" s="5" t="s">
        <v>691</v>
      </c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5">
        <v>12</v>
      </c>
      <c r="B13" s="5" t="s">
        <v>722</v>
      </c>
      <c r="C13" s="5" t="s">
        <v>718</v>
      </c>
      <c r="D13" s="5" t="s">
        <v>184</v>
      </c>
      <c r="E13" s="16">
        <f>=IF(提示条件汇总!I6="","",提示条件汇总!I6)</f>
        <v>0.481481481481482</v>
      </c>
      <c r="F13" s="5" t="s">
        <v>691</v>
      </c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5">
        <v>13</v>
      </c>
      <c r="B14" s="5" t="s">
        <v>724</v>
      </c>
      <c r="C14" s="5" t="s">
        <v>725</v>
      </c>
      <c r="D14" s="5" t="s">
        <v>726</v>
      </c>
      <c r="E14" s="17" t="s">
        <v>727</v>
      </c>
      <c r="F14" s="5" t="s">
        <v>707</v>
      </c>
      <c r="G14" s="5" t="s">
        <v>728</v>
      </c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5">
        <v>14</v>
      </c>
      <c r="B15" s="5" t="s">
        <v>729</v>
      </c>
      <c r="C15" s="5" t="s">
        <v>730</v>
      </c>
      <c r="D15" s="5" t="s">
        <v>731</v>
      </c>
      <c r="E15" s="16">
        <f>=IF(稳定性_留一!C12="","",稳定性_留一!C12)</f>
        <v>0.203</v>
      </c>
      <c r="F15" s="5" t="s">
        <v>695</v>
      </c>
      <c r="G15" s="5" t="s">
        <v>732</v>
      </c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5">
        <v>15</v>
      </c>
      <c r="B16" s="5" t="s">
        <v>733</v>
      </c>
      <c r="C16" s="5" t="s">
        <v>734</v>
      </c>
      <c r="D16" s="5" t="s">
        <v>735</v>
      </c>
      <c r="E16" s="16">
        <f>=IF(维度_Kappa!F13="","",维度_Kappa!F13)</f>
        <v>0.407</v>
      </c>
      <c r="F16" s="5" t="s">
        <v>695</v>
      </c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5">
        <v>16</v>
      </c>
      <c r="B17" s="5" t="s">
        <v>736</v>
      </c>
      <c r="C17" s="5" t="s">
        <v>737</v>
      </c>
      <c r="D17" s="5" t="s">
        <v>738</v>
      </c>
      <c r="E17" s="16">
        <f>=IF(维度_Kappa!G13="","",维度_Kappa!G13)</f>
        <v>0.35</v>
      </c>
      <c r="F17" s="5" t="s">
        <v>695</v>
      </c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5">
        <v>17</v>
      </c>
      <c r="B18" s="5" t="s">
        <v>739</v>
      </c>
      <c r="C18" s="5" t="s">
        <v>740</v>
      </c>
      <c r="D18" s="5" t="s">
        <v>741</v>
      </c>
      <c r="E18" s="16">
        <f>=IF(维度_Kappa!H13="","",维度_Kappa!H13)</f>
        <v>0.462</v>
      </c>
      <c r="F18" s="5" t="s">
        <v>695</v>
      </c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5">
        <v>18</v>
      </c>
      <c r="B19" s="5" t="s">
        <v>742</v>
      </c>
      <c r="C19" s="5" t="s">
        <v>743</v>
      </c>
      <c r="D19" s="5" t="s">
        <v>185</v>
      </c>
      <c r="E19" s="16">
        <f>=IF(OR(提示条件汇总!I4="",提示条件汇总!I5=""),"",提示条件汇总!I5-提示条件汇总!I4)</f>
        <v>-0.0740740740740741</v>
      </c>
      <c r="F19" s="5" t="s">
        <v>691</v>
      </c>
      <c r="G19" s="5" t="s">
        <v>745</v>
      </c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5">
        <v>19</v>
      </c>
      <c r="B20" s="5" t="s">
        <v>746</v>
      </c>
      <c r="C20" s="5" t="s">
        <v>747</v>
      </c>
      <c r="D20" s="5" t="s">
        <v>186</v>
      </c>
      <c r="E20" s="16">
        <f>=IF(OR(提示条件汇总!I5="",提示条件汇总!I6=""),"",提示条件汇总!I6-提示条件汇总!I5)</f>
        <v>0.185185185185185</v>
      </c>
      <c r="F20" s="5" t="s">
        <v>691</v>
      </c>
      <c r="G20" s="5" t="s">
        <v>749</v>
      </c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5">
        <v>20</v>
      </c>
      <c r="B21" s="5" t="s">
        <v>750</v>
      </c>
      <c r="C21" s="5" t="s">
        <v>751</v>
      </c>
      <c r="D21" s="5" t="s">
        <v>752</v>
      </c>
      <c r="E21" s="14">
        <f>=IF(维度_Kappa!F15="","",维度_Kappa!F15)</f>
        <v>0.671</v>
      </c>
      <c r="F21" s="5" t="s">
        <v>695</v>
      </c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5">
        <v>21</v>
      </c>
      <c r="B22" s="5" t="s">
        <v>753</v>
      </c>
      <c r="C22" s="5" t="s">
        <v>754</v>
      </c>
      <c r="D22" s="5" t="s">
        <v>755</v>
      </c>
      <c r="E22" s="14">
        <f>=IF(维度_Kappa!G15="","",维度_Kappa!G15)</f>
        <v>0.65</v>
      </c>
      <c r="F22" s="5" t="s">
        <v>695</v>
      </c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5">
        <v>22</v>
      </c>
      <c r="B23" s="5" t="s">
        <v>756</v>
      </c>
      <c r="C23" s="5" t="s">
        <v>757</v>
      </c>
      <c r="D23" s="5" t="s">
        <v>758</v>
      </c>
      <c r="E23" s="14">
        <f>=IF(维度_Kappa!H15="","",维度_Kappa!H15)</f>
        <v>0.692</v>
      </c>
      <c r="F23" s="5" t="s">
        <v>695</v>
      </c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5">
        <v>23</v>
      </c>
      <c r="B24" s="5" t="s">
        <v>759</v>
      </c>
      <c r="C24" s="5" t="s">
        <v>760</v>
      </c>
      <c r="D24" s="5" t="s">
        <v>761</v>
      </c>
      <c r="E24" s="15" t="s">
        <v>762</v>
      </c>
      <c r="F24" s="5" t="s">
        <v>707</v>
      </c>
      <c r="G24" s="5" t="s">
        <v>763</v>
      </c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Z200"/>
  <sheetViews>
    <sheetView showGridLines="1" workbookViewId="0"/>
  </sheetViews>
  <sheetFormatPr baseColWidth="8" defaultRowHeight="13.8"/>
  <cols>
    <col min="1" max="1" width="9" customWidth="1"/>
    <col min="2" max="2" width="16" customWidth="1"/>
    <col min="3" max="3" width="90" customWidth="1"/>
    <col min="4" max="5" width="12" customWidth="1"/>
  </cols>
  <sheetData>
    <row r="1" spans="1:26">
      <c r="A1" s="7" t="s">
        <v>764</v>
      </c>
      <c r="B1" s="7" t="s">
        <v>616</v>
      </c>
      <c r="C1" s="7" t="s">
        <v>765</v>
      </c>
      <c r="D1" s="7" t="s">
        <v>766</v>
      </c>
      <c r="E1" s="7" t="s">
        <v>767</v>
      </c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ht="88.05" customHeight="1">
      <c r="A2" s="5" t="s">
        <v>277</v>
      </c>
      <c r="B2" s="5" t="s">
        <v>278</v>
      </c>
      <c r="C2" s="6" t="s">
        <v>768</v>
      </c>
      <c r="D2" s="5">
        <v>9</v>
      </c>
      <c r="E2" s="5">
        <v>54</v>
      </c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 ht="88.05" customHeight="1">
      <c r="A3" s="5" t="s">
        <v>297</v>
      </c>
      <c r="B3" s="5" t="s">
        <v>298</v>
      </c>
      <c r="C3" s="6" t="s">
        <v>769</v>
      </c>
      <c r="D3" s="5">
        <v>9</v>
      </c>
      <c r="E3" s="5">
        <v>54</v>
      </c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 ht="88.05" customHeight="1">
      <c r="A4" s="5" t="s">
        <v>317</v>
      </c>
      <c r="B4" s="5" t="s">
        <v>318</v>
      </c>
      <c r="C4" s="6" t="s">
        <v>770</v>
      </c>
      <c r="D4" s="5">
        <v>9</v>
      </c>
      <c r="E4" s="5">
        <v>54</v>
      </c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2026-09-11T20:55:47Z</dcterms:created>
  <dcterms:modified xsi:type="dcterms:W3CDTF">2026-09-11T20:55:47Z</dcterms:modified>
</cp:coreProperties>
</file>